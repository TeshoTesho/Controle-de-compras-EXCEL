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/>
  <bookViews>
    <workbookView xWindow="0" yWindow="0" windowWidth="15390" windowHeight="7635" tabRatio="601"/>
  </bookViews>
  <sheets>
    <sheet name="PADRÃO" sheetId="13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9" i="13"/>
  <c r="Q108"/>
  <c r="T111"/>
  <c r="U111"/>
  <c r="B599"/>
  <c r="B502"/>
  <c r="A7"/>
  <c r="A215" s="1"/>
  <c r="A312" l="1"/>
  <c r="A409"/>
  <c r="A506"/>
  <c r="A603"/>
  <c r="A46"/>
  <c r="A351" s="1"/>
  <c r="A47"/>
  <c r="A352" s="1"/>
  <c r="A48"/>
  <c r="A353" s="1"/>
  <c r="A49"/>
  <c r="A354" s="1"/>
  <c r="A50"/>
  <c r="A355" s="1"/>
  <c r="A51"/>
  <c r="A356" s="1"/>
  <c r="A52"/>
  <c r="A357" s="1"/>
  <c r="A53"/>
  <c r="A358" s="1"/>
  <c r="A54"/>
  <c r="A359" s="1"/>
  <c r="A55"/>
  <c r="A360" s="1"/>
  <c r="A56"/>
  <c r="A361" s="1"/>
  <c r="A57"/>
  <c r="A362" s="1"/>
  <c r="A58"/>
  <c r="A363" s="1"/>
  <c r="A59"/>
  <c r="A364" s="1"/>
  <c r="A60"/>
  <c r="A365" s="1"/>
  <c r="A61"/>
  <c r="A366" s="1"/>
  <c r="A62"/>
  <c r="A367" s="1"/>
  <c r="A63"/>
  <c r="A368" s="1"/>
  <c r="A64"/>
  <c r="A369" s="1"/>
  <c r="A65"/>
  <c r="A370" s="1"/>
  <c r="A66"/>
  <c r="A371" s="1"/>
  <c r="A67"/>
  <c r="A372" s="1"/>
  <c r="A68"/>
  <c r="A373" s="1"/>
  <c r="A69"/>
  <c r="A374" s="1"/>
  <c r="A70"/>
  <c r="A375" s="1"/>
  <c r="A71"/>
  <c r="A376" s="1"/>
  <c r="A72"/>
  <c r="A377" s="1"/>
  <c r="A73"/>
  <c r="A378" s="1"/>
  <c r="A74"/>
  <c r="A379" s="1"/>
  <c r="A75"/>
  <c r="A380" s="1"/>
  <c r="A76"/>
  <c r="A381" s="1"/>
  <c r="A77"/>
  <c r="A382" s="1"/>
  <c r="A78"/>
  <c r="A383" s="1"/>
  <c r="A79"/>
  <c r="A384" s="1"/>
  <c r="A80"/>
  <c r="A385" s="1"/>
  <c r="A81"/>
  <c r="A386" s="1"/>
  <c r="A82"/>
  <c r="A387" s="1"/>
  <c r="A83"/>
  <c r="A388" s="1"/>
  <c r="A84"/>
  <c r="A389" s="1"/>
  <c r="A85"/>
  <c r="A390" s="1"/>
  <c r="A86"/>
  <c r="A391" s="1"/>
  <c r="A87"/>
  <c r="A392" s="1"/>
  <c r="A88"/>
  <c r="A393" s="1"/>
  <c r="A89"/>
  <c r="A394" s="1"/>
  <c r="A90"/>
  <c r="A395" s="1"/>
  <c r="A91"/>
  <c r="A396" s="1"/>
  <c r="A92"/>
  <c r="A397" s="1"/>
  <c r="A93"/>
  <c r="A398" s="1"/>
  <c r="A94"/>
  <c r="A399" s="1"/>
  <c r="A95"/>
  <c r="A400" s="1"/>
  <c r="A96"/>
  <c r="A401" s="1"/>
  <c r="A97"/>
  <c r="A402" s="1"/>
  <c r="A98"/>
  <c r="A403" s="1"/>
  <c r="A151"/>
  <c r="A152"/>
  <c r="A154"/>
  <c r="A155"/>
  <c r="A156"/>
  <c r="A158"/>
  <c r="A159"/>
  <c r="A160"/>
  <c r="A162"/>
  <c r="A163"/>
  <c r="A164"/>
  <c r="A166"/>
  <c r="A167"/>
  <c r="A168"/>
  <c r="A170"/>
  <c r="A171"/>
  <c r="A172"/>
  <c r="A174"/>
  <c r="A175"/>
  <c r="A176"/>
  <c r="A178"/>
  <c r="A179"/>
  <c r="A180"/>
  <c r="A182"/>
  <c r="A183"/>
  <c r="A184"/>
  <c r="A186"/>
  <c r="A187"/>
  <c r="A188"/>
  <c r="A191"/>
  <c r="A192"/>
  <c r="A193"/>
  <c r="A196"/>
  <c r="A197"/>
  <c r="A199"/>
  <c r="A200"/>
  <c r="A201"/>
  <c r="A203"/>
  <c r="A112"/>
  <c r="M203"/>
  <c r="L203"/>
  <c r="K203"/>
  <c r="J203"/>
  <c r="I203"/>
  <c r="M202"/>
  <c r="L202"/>
  <c r="K202"/>
  <c r="J202"/>
  <c r="I202"/>
  <c r="M201"/>
  <c r="L201"/>
  <c r="K201"/>
  <c r="J201"/>
  <c r="I201"/>
  <c r="M200"/>
  <c r="L200"/>
  <c r="K200"/>
  <c r="J200"/>
  <c r="I200"/>
  <c r="N200" s="1"/>
  <c r="M199"/>
  <c r="L199"/>
  <c r="K199"/>
  <c r="J199"/>
  <c r="I199"/>
  <c r="M198"/>
  <c r="L198"/>
  <c r="K198"/>
  <c r="J198"/>
  <c r="I198"/>
  <c r="M197"/>
  <c r="L197"/>
  <c r="K197"/>
  <c r="J197"/>
  <c r="I197"/>
  <c r="M196"/>
  <c r="L196"/>
  <c r="K196"/>
  <c r="J196"/>
  <c r="I196"/>
  <c r="N196" s="1"/>
  <c r="M195"/>
  <c r="L195"/>
  <c r="K195"/>
  <c r="J195"/>
  <c r="I195"/>
  <c r="M194"/>
  <c r="L194"/>
  <c r="K194"/>
  <c r="J194"/>
  <c r="I194"/>
  <c r="M193"/>
  <c r="L193"/>
  <c r="K193"/>
  <c r="J193"/>
  <c r="I193"/>
  <c r="M192"/>
  <c r="L192"/>
  <c r="K192"/>
  <c r="J192"/>
  <c r="I192"/>
  <c r="N192" s="1"/>
  <c r="M191"/>
  <c r="L191"/>
  <c r="K191"/>
  <c r="J191"/>
  <c r="I191"/>
  <c r="M190"/>
  <c r="L190"/>
  <c r="K190"/>
  <c r="J190"/>
  <c r="I190"/>
  <c r="M189"/>
  <c r="L189"/>
  <c r="K189"/>
  <c r="J189"/>
  <c r="I189"/>
  <c r="M188"/>
  <c r="L188"/>
  <c r="K188"/>
  <c r="J188"/>
  <c r="I188"/>
  <c r="N188" s="1"/>
  <c r="M187"/>
  <c r="L187"/>
  <c r="K187"/>
  <c r="J187"/>
  <c r="I187"/>
  <c r="M186"/>
  <c r="L186"/>
  <c r="K186"/>
  <c r="J186"/>
  <c r="I186"/>
  <c r="M185"/>
  <c r="L185"/>
  <c r="K185"/>
  <c r="J185"/>
  <c r="I185"/>
  <c r="M184"/>
  <c r="L184"/>
  <c r="K184"/>
  <c r="J184"/>
  <c r="I184"/>
  <c r="N184" s="1"/>
  <c r="M183"/>
  <c r="L183"/>
  <c r="K183"/>
  <c r="J183"/>
  <c r="I183"/>
  <c r="M182"/>
  <c r="L182"/>
  <c r="K182"/>
  <c r="J182"/>
  <c r="I182"/>
  <c r="M181"/>
  <c r="L181"/>
  <c r="K181"/>
  <c r="J181"/>
  <c r="I181"/>
  <c r="M180"/>
  <c r="L180"/>
  <c r="K180"/>
  <c r="J180"/>
  <c r="I180"/>
  <c r="N180" s="1"/>
  <c r="M179"/>
  <c r="L179"/>
  <c r="K179"/>
  <c r="J179"/>
  <c r="I179"/>
  <c r="M178"/>
  <c r="L178"/>
  <c r="K178"/>
  <c r="J178"/>
  <c r="I178"/>
  <c r="M177"/>
  <c r="L177"/>
  <c r="K177"/>
  <c r="J177"/>
  <c r="I177"/>
  <c r="M176"/>
  <c r="L176"/>
  <c r="K176"/>
  <c r="J176"/>
  <c r="I176"/>
  <c r="N176" s="1"/>
  <c r="M175"/>
  <c r="L175"/>
  <c r="K175"/>
  <c r="J175"/>
  <c r="I175"/>
  <c r="M174"/>
  <c r="L174"/>
  <c r="K174"/>
  <c r="J174"/>
  <c r="I174"/>
  <c r="M173"/>
  <c r="L173"/>
  <c r="K173"/>
  <c r="J173"/>
  <c r="I173"/>
  <c r="M172"/>
  <c r="L172"/>
  <c r="K172"/>
  <c r="J172"/>
  <c r="I172"/>
  <c r="N172" s="1"/>
  <c r="M171"/>
  <c r="L171"/>
  <c r="K171"/>
  <c r="J171"/>
  <c r="I171"/>
  <c r="M170"/>
  <c r="L170"/>
  <c r="K170"/>
  <c r="J170"/>
  <c r="I170"/>
  <c r="M169"/>
  <c r="L169"/>
  <c r="K169"/>
  <c r="J169"/>
  <c r="I169"/>
  <c r="M168"/>
  <c r="L168"/>
  <c r="K168"/>
  <c r="J168"/>
  <c r="I168"/>
  <c r="N168" s="1"/>
  <c r="M167"/>
  <c r="L167"/>
  <c r="K167"/>
  <c r="J167"/>
  <c r="I167"/>
  <c r="M166"/>
  <c r="L166"/>
  <c r="K166"/>
  <c r="J166"/>
  <c r="I166"/>
  <c r="M165"/>
  <c r="L165"/>
  <c r="K165"/>
  <c r="J165"/>
  <c r="I165"/>
  <c r="M164"/>
  <c r="L164"/>
  <c r="K164"/>
  <c r="J164"/>
  <c r="I164"/>
  <c r="N164" s="1"/>
  <c r="M163"/>
  <c r="L163"/>
  <c r="K163"/>
  <c r="J163"/>
  <c r="I163"/>
  <c r="M162"/>
  <c r="L162"/>
  <c r="K162"/>
  <c r="J162"/>
  <c r="I162"/>
  <c r="M161"/>
  <c r="L161"/>
  <c r="K161"/>
  <c r="J161"/>
  <c r="I161"/>
  <c r="M160"/>
  <c r="L160"/>
  <c r="K160"/>
  <c r="J160"/>
  <c r="I160"/>
  <c r="N160" s="1"/>
  <c r="M159"/>
  <c r="L159"/>
  <c r="K159"/>
  <c r="J159"/>
  <c r="I159"/>
  <c r="M158"/>
  <c r="L158"/>
  <c r="K158"/>
  <c r="J158"/>
  <c r="I158"/>
  <c r="M157"/>
  <c r="L157"/>
  <c r="K157"/>
  <c r="J157"/>
  <c r="I157"/>
  <c r="M156"/>
  <c r="L156"/>
  <c r="K156"/>
  <c r="J156"/>
  <c r="I156"/>
  <c r="N156" s="1"/>
  <c r="M155"/>
  <c r="L155"/>
  <c r="K155"/>
  <c r="J155"/>
  <c r="I155"/>
  <c r="M154"/>
  <c r="L154"/>
  <c r="K154"/>
  <c r="J154"/>
  <c r="I154"/>
  <c r="M153"/>
  <c r="L153"/>
  <c r="K153"/>
  <c r="J153"/>
  <c r="I153"/>
  <c r="M152"/>
  <c r="L152"/>
  <c r="K152"/>
  <c r="J152"/>
  <c r="I152"/>
  <c r="N152" s="1"/>
  <c r="M151"/>
  <c r="L151"/>
  <c r="K151"/>
  <c r="J151"/>
  <c r="I151"/>
  <c r="M150"/>
  <c r="L150"/>
  <c r="K150"/>
  <c r="J150"/>
  <c r="I150"/>
  <c r="M149"/>
  <c r="L149"/>
  <c r="K149"/>
  <c r="J149"/>
  <c r="I149"/>
  <c r="M148"/>
  <c r="L148"/>
  <c r="K148"/>
  <c r="J148"/>
  <c r="I148"/>
  <c r="N148" s="1"/>
  <c r="M147"/>
  <c r="L147"/>
  <c r="K147"/>
  <c r="J147"/>
  <c r="I147"/>
  <c r="M146"/>
  <c r="L146"/>
  <c r="K146"/>
  <c r="J146"/>
  <c r="I146"/>
  <c r="M145"/>
  <c r="L145"/>
  <c r="K145"/>
  <c r="J145"/>
  <c r="I145"/>
  <c r="M144"/>
  <c r="L144"/>
  <c r="K144"/>
  <c r="J144"/>
  <c r="I144"/>
  <c r="N144" s="1"/>
  <c r="M143"/>
  <c r="L143"/>
  <c r="K143"/>
  <c r="J143"/>
  <c r="I143"/>
  <c r="M142"/>
  <c r="L142"/>
  <c r="K142"/>
  <c r="J142"/>
  <c r="I142"/>
  <c r="M141"/>
  <c r="L141"/>
  <c r="K141"/>
  <c r="J141"/>
  <c r="I141"/>
  <c r="M140"/>
  <c r="L140"/>
  <c r="K140"/>
  <c r="J140"/>
  <c r="I140"/>
  <c r="N140" s="1"/>
  <c r="M139"/>
  <c r="L139"/>
  <c r="K139"/>
  <c r="J139"/>
  <c r="I139"/>
  <c r="M138"/>
  <c r="L138"/>
  <c r="K138"/>
  <c r="J138"/>
  <c r="I138"/>
  <c r="M137"/>
  <c r="L137"/>
  <c r="K137"/>
  <c r="J137"/>
  <c r="I137"/>
  <c r="M136"/>
  <c r="L136"/>
  <c r="K136"/>
  <c r="J136"/>
  <c r="I136"/>
  <c r="N136" s="1"/>
  <c r="M135"/>
  <c r="L135"/>
  <c r="K135"/>
  <c r="J135"/>
  <c r="I135"/>
  <c r="M134"/>
  <c r="L134"/>
  <c r="K134"/>
  <c r="J134"/>
  <c r="I134"/>
  <c r="M133"/>
  <c r="L133"/>
  <c r="K133"/>
  <c r="J133"/>
  <c r="I133"/>
  <c r="M132"/>
  <c r="L132"/>
  <c r="K132"/>
  <c r="J132"/>
  <c r="I132"/>
  <c r="N132" s="1"/>
  <c r="M131"/>
  <c r="L131"/>
  <c r="K131"/>
  <c r="J131"/>
  <c r="I131"/>
  <c r="M130"/>
  <c r="L130"/>
  <c r="K130"/>
  <c r="J130"/>
  <c r="I130"/>
  <c r="M129"/>
  <c r="L129"/>
  <c r="K129"/>
  <c r="J129"/>
  <c r="I129"/>
  <c r="M128"/>
  <c r="L128"/>
  <c r="K128"/>
  <c r="J128"/>
  <c r="I128"/>
  <c r="N128" s="1"/>
  <c r="M127"/>
  <c r="L127"/>
  <c r="K127"/>
  <c r="J127"/>
  <c r="I127"/>
  <c r="M126"/>
  <c r="L126"/>
  <c r="K126"/>
  <c r="J126"/>
  <c r="I126"/>
  <c r="M125"/>
  <c r="L125"/>
  <c r="K125"/>
  <c r="J125"/>
  <c r="I125"/>
  <c r="M124"/>
  <c r="L124"/>
  <c r="K124"/>
  <c r="J124"/>
  <c r="I124"/>
  <c r="N124" s="1"/>
  <c r="M123"/>
  <c r="L123"/>
  <c r="K123"/>
  <c r="J123"/>
  <c r="I123"/>
  <c r="M122"/>
  <c r="L122"/>
  <c r="K122"/>
  <c r="J122"/>
  <c r="I122"/>
  <c r="M121"/>
  <c r="L121"/>
  <c r="K121"/>
  <c r="J121"/>
  <c r="I121"/>
  <c r="M120"/>
  <c r="L120"/>
  <c r="K120"/>
  <c r="J120"/>
  <c r="I120"/>
  <c r="N120" s="1"/>
  <c r="M119"/>
  <c r="L119"/>
  <c r="K119"/>
  <c r="J119"/>
  <c r="I119"/>
  <c r="M118"/>
  <c r="L118"/>
  <c r="K118"/>
  <c r="J118"/>
  <c r="I118"/>
  <c r="M117"/>
  <c r="L117"/>
  <c r="K117"/>
  <c r="J117"/>
  <c r="I117"/>
  <c r="M116"/>
  <c r="L116"/>
  <c r="K116"/>
  <c r="J116"/>
  <c r="I116"/>
  <c r="N116" s="1"/>
  <c r="M115"/>
  <c r="L115"/>
  <c r="K115"/>
  <c r="J115"/>
  <c r="I115"/>
  <c r="M114"/>
  <c r="L114"/>
  <c r="K114"/>
  <c r="J114"/>
  <c r="I114"/>
  <c r="M113"/>
  <c r="L113"/>
  <c r="K113"/>
  <c r="J113"/>
  <c r="I113"/>
  <c r="M112"/>
  <c r="L112"/>
  <c r="K112"/>
  <c r="J112"/>
  <c r="I112"/>
  <c r="O7" s="1" a="1"/>
  <c r="O7" s="1"/>
  <c r="M110"/>
  <c r="L110"/>
  <c r="K110"/>
  <c r="J110"/>
  <c r="I110"/>
  <c r="F110"/>
  <c r="E110"/>
  <c r="D110"/>
  <c r="C110"/>
  <c r="B110"/>
  <c r="P98"/>
  <c r="O98" a="1"/>
  <c r="O98" s="1"/>
  <c r="N98"/>
  <c r="F203" s="1"/>
  <c r="L98"/>
  <c r="E203" s="1"/>
  <c r="J98"/>
  <c r="D203" s="1"/>
  <c r="H98"/>
  <c r="C203" s="1"/>
  <c r="F98"/>
  <c r="B203" s="1"/>
  <c r="P97"/>
  <c r="O97" a="1"/>
  <c r="O97" s="1"/>
  <c r="N97"/>
  <c r="F202" s="1"/>
  <c r="L97"/>
  <c r="E202" s="1"/>
  <c r="J97"/>
  <c r="D202" s="1"/>
  <c r="H97"/>
  <c r="C202" s="1"/>
  <c r="F97"/>
  <c r="B202" s="1"/>
  <c r="P96"/>
  <c r="O96" a="1"/>
  <c r="O96" s="1"/>
  <c r="N96"/>
  <c r="F201" s="1"/>
  <c r="L96"/>
  <c r="E201" s="1"/>
  <c r="J96"/>
  <c r="D201" s="1"/>
  <c r="H96"/>
  <c r="C201" s="1"/>
  <c r="F96"/>
  <c r="B201" s="1"/>
  <c r="P95"/>
  <c r="O95" a="1"/>
  <c r="O95" s="1"/>
  <c r="N95"/>
  <c r="F200" s="1"/>
  <c r="L95"/>
  <c r="E200" s="1"/>
  <c r="J95"/>
  <c r="R95" s="1"/>
  <c r="H95"/>
  <c r="C200" s="1"/>
  <c r="F95"/>
  <c r="B200" s="1"/>
  <c r="P94"/>
  <c r="O94" a="1"/>
  <c r="O94" s="1"/>
  <c r="N94"/>
  <c r="F199" s="1"/>
  <c r="L94"/>
  <c r="E199" s="1"/>
  <c r="J94"/>
  <c r="D199" s="1"/>
  <c r="H94"/>
  <c r="C199" s="1"/>
  <c r="F94"/>
  <c r="B199" s="1"/>
  <c r="P93"/>
  <c r="O93" a="1"/>
  <c r="O93" s="1"/>
  <c r="N93"/>
  <c r="F198" s="1"/>
  <c r="L93"/>
  <c r="E198" s="1"/>
  <c r="J93"/>
  <c r="D198" s="1"/>
  <c r="H93"/>
  <c r="C198" s="1"/>
  <c r="F93"/>
  <c r="B198" s="1"/>
  <c r="P92"/>
  <c r="O92" a="1"/>
  <c r="O92" s="1"/>
  <c r="N92"/>
  <c r="F197" s="1"/>
  <c r="L92"/>
  <c r="E197" s="1"/>
  <c r="J92"/>
  <c r="D197" s="1"/>
  <c r="H92"/>
  <c r="C197" s="1"/>
  <c r="F92"/>
  <c r="B197" s="1"/>
  <c r="P91"/>
  <c r="O91" a="1"/>
  <c r="O91" s="1"/>
  <c r="N91"/>
  <c r="F196" s="1"/>
  <c r="L91"/>
  <c r="E196" s="1"/>
  <c r="J91"/>
  <c r="D196" s="1"/>
  <c r="H91"/>
  <c r="C196" s="1"/>
  <c r="F91"/>
  <c r="B196" s="1"/>
  <c r="P90"/>
  <c r="O90" a="1"/>
  <c r="O90" s="1"/>
  <c r="N90"/>
  <c r="F195" s="1"/>
  <c r="L90"/>
  <c r="E195" s="1"/>
  <c r="J90"/>
  <c r="D195" s="1"/>
  <c r="H90"/>
  <c r="C195" s="1"/>
  <c r="F90"/>
  <c r="B195" s="1"/>
  <c r="P89"/>
  <c r="O89" a="1"/>
  <c r="O89" s="1"/>
  <c r="N89"/>
  <c r="F194" s="1"/>
  <c r="L89"/>
  <c r="E194" s="1"/>
  <c r="J89"/>
  <c r="D194" s="1"/>
  <c r="H89"/>
  <c r="C194" s="1"/>
  <c r="F89"/>
  <c r="B194" s="1"/>
  <c r="G194" s="1"/>
  <c r="P88"/>
  <c r="O88" a="1"/>
  <c r="O88" s="1"/>
  <c r="N88"/>
  <c r="F193" s="1"/>
  <c r="L88"/>
  <c r="E193" s="1"/>
  <c r="J88"/>
  <c r="D193" s="1"/>
  <c r="H88"/>
  <c r="C193" s="1"/>
  <c r="F88"/>
  <c r="B193" s="1"/>
  <c r="P87"/>
  <c r="O87" a="1"/>
  <c r="O87" s="1"/>
  <c r="N87"/>
  <c r="F192" s="1"/>
  <c r="L87"/>
  <c r="E192" s="1"/>
  <c r="J87"/>
  <c r="D192" s="1"/>
  <c r="H87"/>
  <c r="C192" s="1"/>
  <c r="F87"/>
  <c r="B192" s="1"/>
  <c r="P86"/>
  <c r="O86" a="1"/>
  <c r="O86" s="1"/>
  <c r="N86"/>
  <c r="F191" s="1"/>
  <c r="L86"/>
  <c r="E191" s="1"/>
  <c r="J86"/>
  <c r="D191" s="1"/>
  <c r="H86"/>
  <c r="C191" s="1"/>
  <c r="F86"/>
  <c r="B191" s="1"/>
  <c r="P85"/>
  <c r="O85" a="1"/>
  <c r="O85" s="1"/>
  <c r="N85"/>
  <c r="F190" s="1"/>
  <c r="L85"/>
  <c r="E190" s="1"/>
  <c r="J85"/>
  <c r="D190" s="1"/>
  <c r="H85"/>
  <c r="C190" s="1"/>
  <c r="F85"/>
  <c r="B190" s="1"/>
  <c r="P84"/>
  <c r="O84" a="1"/>
  <c r="O84" s="1"/>
  <c r="N84"/>
  <c r="F189" s="1"/>
  <c r="L84"/>
  <c r="E189" s="1"/>
  <c r="J84"/>
  <c r="D189" s="1"/>
  <c r="H84"/>
  <c r="C189" s="1"/>
  <c r="F84"/>
  <c r="B189" s="1"/>
  <c r="P83"/>
  <c r="O83" a="1"/>
  <c r="O83" s="1"/>
  <c r="N83"/>
  <c r="F188" s="1"/>
  <c r="L83"/>
  <c r="E188" s="1"/>
  <c r="J83"/>
  <c r="D188" s="1"/>
  <c r="H83"/>
  <c r="C188" s="1"/>
  <c r="F83"/>
  <c r="B188" s="1"/>
  <c r="P82"/>
  <c r="O82" a="1"/>
  <c r="O82" s="1"/>
  <c r="N82"/>
  <c r="F187" s="1"/>
  <c r="L82"/>
  <c r="E187" s="1"/>
  <c r="J82"/>
  <c r="D187" s="1"/>
  <c r="H82"/>
  <c r="C187" s="1"/>
  <c r="F82"/>
  <c r="B187" s="1"/>
  <c r="P81"/>
  <c r="O81" a="1"/>
  <c r="O81" s="1"/>
  <c r="N81"/>
  <c r="F186" s="1"/>
  <c r="L81"/>
  <c r="E186" s="1"/>
  <c r="J81"/>
  <c r="D186" s="1"/>
  <c r="H81"/>
  <c r="C186" s="1"/>
  <c r="F81"/>
  <c r="B186" s="1"/>
  <c r="P80"/>
  <c r="O80" a="1"/>
  <c r="O80" s="1"/>
  <c r="N80"/>
  <c r="F185" s="1"/>
  <c r="L80"/>
  <c r="E185" s="1"/>
  <c r="J80"/>
  <c r="D185" s="1"/>
  <c r="H80"/>
  <c r="C185" s="1"/>
  <c r="F80"/>
  <c r="B185" s="1"/>
  <c r="P79"/>
  <c r="O79" a="1"/>
  <c r="O79" s="1"/>
  <c r="N79"/>
  <c r="F184" s="1"/>
  <c r="L79"/>
  <c r="E184" s="1"/>
  <c r="J79"/>
  <c r="D184" s="1"/>
  <c r="H79"/>
  <c r="C184" s="1"/>
  <c r="F79"/>
  <c r="B184" s="1"/>
  <c r="P78"/>
  <c r="O78" a="1"/>
  <c r="O78" s="1"/>
  <c r="N78"/>
  <c r="F183" s="1"/>
  <c r="L78"/>
  <c r="E183" s="1"/>
  <c r="J78"/>
  <c r="D183" s="1"/>
  <c r="H78"/>
  <c r="C183" s="1"/>
  <c r="F78"/>
  <c r="B183" s="1"/>
  <c r="P77"/>
  <c r="O77" a="1"/>
  <c r="O77" s="1"/>
  <c r="N77"/>
  <c r="F182" s="1"/>
  <c r="L77"/>
  <c r="E182" s="1"/>
  <c r="J77"/>
  <c r="D182" s="1"/>
  <c r="H77"/>
  <c r="C182" s="1"/>
  <c r="F77"/>
  <c r="B182" s="1"/>
  <c r="P76"/>
  <c r="O76" a="1"/>
  <c r="O76" s="1"/>
  <c r="N76"/>
  <c r="F181" s="1"/>
  <c r="L76"/>
  <c r="E181" s="1"/>
  <c r="J76"/>
  <c r="D181" s="1"/>
  <c r="H76"/>
  <c r="C181" s="1"/>
  <c r="F76"/>
  <c r="B181" s="1"/>
  <c r="P75"/>
  <c r="O75" a="1"/>
  <c r="O75" s="1"/>
  <c r="N75"/>
  <c r="F180" s="1"/>
  <c r="L75"/>
  <c r="E180" s="1"/>
  <c r="J75"/>
  <c r="D180" s="1"/>
  <c r="H75"/>
  <c r="C180" s="1"/>
  <c r="F75"/>
  <c r="B180" s="1"/>
  <c r="P74"/>
  <c r="O74" a="1"/>
  <c r="O74" s="1"/>
  <c r="N74"/>
  <c r="F179" s="1"/>
  <c r="L74"/>
  <c r="E179" s="1"/>
  <c r="J74"/>
  <c r="D179" s="1"/>
  <c r="H74"/>
  <c r="C179" s="1"/>
  <c r="F74"/>
  <c r="B179" s="1"/>
  <c r="P73"/>
  <c r="O73" a="1"/>
  <c r="O73" s="1"/>
  <c r="N73"/>
  <c r="F178" s="1"/>
  <c r="L73"/>
  <c r="E178" s="1"/>
  <c r="J73"/>
  <c r="D178" s="1"/>
  <c r="H73"/>
  <c r="C178" s="1"/>
  <c r="F73"/>
  <c r="P72"/>
  <c r="O72" a="1"/>
  <c r="O72" s="1"/>
  <c r="N72"/>
  <c r="F177" s="1"/>
  <c r="L72"/>
  <c r="E177" s="1"/>
  <c r="J72"/>
  <c r="D177" s="1"/>
  <c r="H72"/>
  <c r="C177" s="1"/>
  <c r="F72"/>
  <c r="P71"/>
  <c r="O71" a="1"/>
  <c r="O71" s="1"/>
  <c r="N71"/>
  <c r="F176" s="1"/>
  <c r="L71"/>
  <c r="E176" s="1"/>
  <c r="J71"/>
  <c r="D176" s="1"/>
  <c r="H71"/>
  <c r="C176" s="1"/>
  <c r="F71"/>
  <c r="P70"/>
  <c r="O70" a="1"/>
  <c r="O70" s="1"/>
  <c r="N70"/>
  <c r="F175" s="1"/>
  <c r="L70"/>
  <c r="E175" s="1"/>
  <c r="J70"/>
  <c r="D175" s="1"/>
  <c r="H70"/>
  <c r="C175" s="1"/>
  <c r="F70"/>
  <c r="P69"/>
  <c r="O69" a="1"/>
  <c r="O69" s="1"/>
  <c r="N69"/>
  <c r="F174" s="1"/>
  <c r="L69"/>
  <c r="E174" s="1"/>
  <c r="J69"/>
  <c r="D174" s="1"/>
  <c r="H69"/>
  <c r="C174" s="1"/>
  <c r="F69"/>
  <c r="B174" s="1"/>
  <c r="P68"/>
  <c r="O68" a="1"/>
  <c r="O68" s="1"/>
  <c r="N68"/>
  <c r="F173" s="1"/>
  <c r="L68"/>
  <c r="E173" s="1"/>
  <c r="J68"/>
  <c r="D173" s="1"/>
  <c r="H68"/>
  <c r="C173" s="1"/>
  <c r="F68"/>
  <c r="B173" s="1"/>
  <c r="P67"/>
  <c r="O67" a="1"/>
  <c r="O67" s="1"/>
  <c r="N67"/>
  <c r="F172" s="1"/>
  <c r="L67"/>
  <c r="E172" s="1"/>
  <c r="J67"/>
  <c r="D172" s="1"/>
  <c r="H67"/>
  <c r="C172" s="1"/>
  <c r="F67"/>
  <c r="B172" s="1"/>
  <c r="P66"/>
  <c r="O66" a="1"/>
  <c r="O66" s="1"/>
  <c r="N66"/>
  <c r="F171" s="1"/>
  <c r="L66"/>
  <c r="E171" s="1"/>
  <c r="J66"/>
  <c r="D171" s="1"/>
  <c r="H66"/>
  <c r="C171" s="1"/>
  <c r="F66"/>
  <c r="B171" s="1"/>
  <c r="P65"/>
  <c r="O65" a="1"/>
  <c r="O65" s="1"/>
  <c r="N65"/>
  <c r="F170" s="1"/>
  <c r="L65"/>
  <c r="E170" s="1"/>
  <c r="J65"/>
  <c r="D170" s="1"/>
  <c r="H65"/>
  <c r="C170" s="1"/>
  <c r="F65"/>
  <c r="B170" s="1"/>
  <c r="P64"/>
  <c r="O64" a="1"/>
  <c r="O64" s="1"/>
  <c r="N64"/>
  <c r="F169" s="1"/>
  <c r="L64"/>
  <c r="E169" s="1"/>
  <c r="J64"/>
  <c r="D169" s="1"/>
  <c r="H64"/>
  <c r="C169" s="1"/>
  <c r="F64"/>
  <c r="P63"/>
  <c r="O63" a="1"/>
  <c r="O63" s="1"/>
  <c r="N63"/>
  <c r="F168" s="1"/>
  <c r="L63"/>
  <c r="E168" s="1"/>
  <c r="J63"/>
  <c r="D168" s="1"/>
  <c r="H63"/>
  <c r="C168" s="1"/>
  <c r="F63"/>
  <c r="P62"/>
  <c r="O62" a="1"/>
  <c r="O62" s="1"/>
  <c r="N62"/>
  <c r="F167" s="1"/>
  <c r="L62"/>
  <c r="E167" s="1"/>
  <c r="J62"/>
  <c r="D167" s="1"/>
  <c r="H62"/>
  <c r="C167" s="1"/>
  <c r="F62"/>
  <c r="P61"/>
  <c r="O61" a="1"/>
  <c r="O61" s="1"/>
  <c r="N61"/>
  <c r="F166" s="1"/>
  <c r="L61"/>
  <c r="E166" s="1"/>
  <c r="J61"/>
  <c r="D166" s="1"/>
  <c r="H61"/>
  <c r="C166" s="1"/>
  <c r="F61"/>
  <c r="P60"/>
  <c r="O60" a="1"/>
  <c r="O60" s="1"/>
  <c r="N60"/>
  <c r="F165" s="1"/>
  <c r="L60"/>
  <c r="E165" s="1"/>
  <c r="J60"/>
  <c r="D165" s="1"/>
  <c r="H60"/>
  <c r="C165" s="1"/>
  <c r="F60"/>
  <c r="P59"/>
  <c r="O59" a="1"/>
  <c r="O59" s="1"/>
  <c r="N59"/>
  <c r="F164" s="1"/>
  <c r="L59"/>
  <c r="E164" s="1"/>
  <c r="J59"/>
  <c r="D164" s="1"/>
  <c r="H59"/>
  <c r="C164" s="1"/>
  <c r="F59"/>
  <c r="P58"/>
  <c r="O58" a="1"/>
  <c r="O58" s="1"/>
  <c r="N58"/>
  <c r="F163" s="1"/>
  <c r="L58"/>
  <c r="E163" s="1"/>
  <c r="J58"/>
  <c r="D163" s="1"/>
  <c r="H58"/>
  <c r="C163" s="1"/>
  <c r="F58"/>
  <c r="B163" s="1"/>
  <c r="P57"/>
  <c r="O57" a="1"/>
  <c r="O57" s="1"/>
  <c r="N57"/>
  <c r="F162" s="1"/>
  <c r="L57"/>
  <c r="E162" s="1"/>
  <c r="J57"/>
  <c r="D162" s="1"/>
  <c r="H57"/>
  <c r="C162" s="1"/>
  <c r="F57"/>
  <c r="B162" s="1"/>
  <c r="P56"/>
  <c r="O56" a="1"/>
  <c r="O56" s="1"/>
  <c r="N56"/>
  <c r="F161" s="1"/>
  <c r="L56"/>
  <c r="E161" s="1"/>
  <c r="J56"/>
  <c r="D161" s="1"/>
  <c r="H56"/>
  <c r="C161" s="1"/>
  <c r="F56"/>
  <c r="B161" s="1"/>
  <c r="P55"/>
  <c r="O55" a="1"/>
  <c r="O55" s="1"/>
  <c r="N55"/>
  <c r="F160" s="1"/>
  <c r="L55"/>
  <c r="E160" s="1"/>
  <c r="J55"/>
  <c r="D160" s="1"/>
  <c r="H55"/>
  <c r="C160" s="1"/>
  <c r="F55"/>
  <c r="B160" s="1"/>
  <c r="P54"/>
  <c r="O54" a="1"/>
  <c r="O54" s="1"/>
  <c r="N54"/>
  <c r="F159" s="1"/>
  <c r="L54"/>
  <c r="E159" s="1"/>
  <c r="J54"/>
  <c r="D159" s="1"/>
  <c r="H54"/>
  <c r="C159" s="1"/>
  <c r="F54"/>
  <c r="B159" s="1"/>
  <c r="P53"/>
  <c r="O53" a="1"/>
  <c r="O53" s="1"/>
  <c r="N53"/>
  <c r="F158" s="1"/>
  <c r="L53"/>
  <c r="E158" s="1"/>
  <c r="J53"/>
  <c r="D158" s="1"/>
  <c r="H53"/>
  <c r="C158" s="1"/>
  <c r="F53"/>
  <c r="B158" s="1"/>
  <c r="G158" s="1"/>
  <c r="P52"/>
  <c r="O52" a="1"/>
  <c r="O52" s="1"/>
  <c r="N52"/>
  <c r="F157" s="1"/>
  <c r="L52"/>
  <c r="E157" s="1"/>
  <c r="J52"/>
  <c r="D157" s="1"/>
  <c r="H52"/>
  <c r="C157" s="1"/>
  <c r="F52"/>
  <c r="B157" s="1"/>
  <c r="P51"/>
  <c r="O51" a="1"/>
  <c r="O51" s="1"/>
  <c r="N51"/>
  <c r="F156" s="1"/>
  <c r="L51"/>
  <c r="E156" s="1"/>
  <c r="J51"/>
  <c r="D156" s="1"/>
  <c r="H51"/>
  <c r="C156" s="1"/>
  <c r="F51"/>
  <c r="B156" s="1"/>
  <c r="P50"/>
  <c r="O50" a="1"/>
  <c r="O50" s="1"/>
  <c r="N50"/>
  <c r="F155" s="1"/>
  <c r="L50"/>
  <c r="E155" s="1"/>
  <c r="J50"/>
  <c r="D155" s="1"/>
  <c r="H50"/>
  <c r="C155" s="1"/>
  <c r="F50"/>
  <c r="B155" s="1"/>
  <c r="P49"/>
  <c r="O49" a="1"/>
  <c r="O49" s="1"/>
  <c r="N49"/>
  <c r="F154" s="1"/>
  <c r="L49"/>
  <c r="E154" s="1"/>
  <c r="J49"/>
  <c r="D154" s="1"/>
  <c r="H49"/>
  <c r="C154" s="1"/>
  <c r="F49"/>
  <c r="B154" s="1"/>
  <c r="G154" s="1"/>
  <c r="P48"/>
  <c r="O48" a="1"/>
  <c r="O48" s="1"/>
  <c r="N48"/>
  <c r="F153" s="1"/>
  <c r="L48"/>
  <c r="E153" s="1"/>
  <c r="J48"/>
  <c r="D153" s="1"/>
  <c r="H48"/>
  <c r="C153" s="1"/>
  <c r="F48"/>
  <c r="B153" s="1"/>
  <c r="P47"/>
  <c r="O47" a="1"/>
  <c r="O47" s="1"/>
  <c r="N47"/>
  <c r="F152" s="1"/>
  <c r="L47"/>
  <c r="E152" s="1"/>
  <c r="J47"/>
  <c r="D152" s="1"/>
  <c r="H47"/>
  <c r="C152" s="1"/>
  <c r="F47"/>
  <c r="B152" s="1"/>
  <c r="P46"/>
  <c r="O46" a="1"/>
  <c r="O46" s="1"/>
  <c r="N46"/>
  <c r="F151" s="1"/>
  <c r="L46"/>
  <c r="E151" s="1"/>
  <c r="J46"/>
  <c r="D151" s="1"/>
  <c r="H46"/>
  <c r="C151" s="1"/>
  <c r="F46"/>
  <c r="B151" s="1"/>
  <c r="P45"/>
  <c r="O45" a="1"/>
  <c r="O45" s="1"/>
  <c r="N45"/>
  <c r="F150" s="1"/>
  <c r="L45"/>
  <c r="E150" s="1"/>
  <c r="J45"/>
  <c r="D150" s="1"/>
  <c r="H45"/>
  <c r="C150" s="1"/>
  <c r="F45"/>
  <c r="B150" s="1"/>
  <c r="G150" s="1"/>
  <c r="A45"/>
  <c r="A350" s="1"/>
  <c r="P44"/>
  <c r="O44" a="1"/>
  <c r="O44" s="1"/>
  <c r="N44"/>
  <c r="F149" s="1"/>
  <c r="L44"/>
  <c r="E149" s="1"/>
  <c r="J44"/>
  <c r="D149" s="1"/>
  <c r="H44"/>
  <c r="C149" s="1"/>
  <c r="F44"/>
  <c r="B149" s="1"/>
  <c r="G149" s="1"/>
  <c r="A44"/>
  <c r="A149" s="1"/>
  <c r="P43"/>
  <c r="O43" a="1"/>
  <c r="O43" s="1"/>
  <c r="N43"/>
  <c r="F148" s="1"/>
  <c r="L43"/>
  <c r="E148" s="1"/>
  <c r="J43"/>
  <c r="D148" s="1"/>
  <c r="H43"/>
  <c r="C148" s="1"/>
  <c r="F43"/>
  <c r="B148" s="1"/>
  <c r="A43"/>
  <c r="A148" s="1"/>
  <c r="P42"/>
  <c r="O42" a="1"/>
  <c r="O42" s="1"/>
  <c r="N42"/>
  <c r="F147" s="1"/>
  <c r="L42"/>
  <c r="E147" s="1"/>
  <c r="J42"/>
  <c r="D147" s="1"/>
  <c r="H42"/>
  <c r="C147" s="1"/>
  <c r="F42"/>
  <c r="B147" s="1"/>
  <c r="A42"/>
  <c r="A147" s="1"/>
  <c r="P41"/>
  <c r="O41" a="1"/>
  <c r="O41" s="1"/>
  <c r="N41"/>
  <c r="F146" s="1"/>
  <c r="L41"/>
  <c r="E146" s="1"/>
  <c r="J41"/>
  <c r="D146" s="1"/>
  <c r="H41"/>
  <c r="C146" s="1"/>
  <c r="F41"/>
  <c r="B146" s="1"/>
  <c r="A41"/>
  <c r="A346" s="1"/>
  <c r="P40"/>
  <c r="O40" a="1"/>
  <c r="O40" s="1"/>
  <c r="N40"/>
  <c r="F145" s="1"/>
  <c r="L40"/>
  <c r="E145" s="1"/>
  <c r="J40"/>
  <c r="D145" s="1"/>
  <c r="H40"/>
  <c r="C145" s="1"/>
  <c r="F40"/>
  <c r="B145" s="1"/>
  <c r="A40"/>
  <c r="A145" s="1"/>
  <c r="P39"/>
  <c r="O39" a="1"/>
  <c r="O39" s="1"/>
  <c r="N39"/>
  <c r="F144" s="1"/>
  <c r="L39"/>
  <c r="E144" s="1"/>
  <c r="J39"/>
  <c r="D144" s="1"/>
  <c r="H39"/>
  <c r="C144" s="1"/>
  <c r="F39"/>
  <c r="B144" s="1"/>
  <c r="A39"/>
  <c r="A144" s="1"/>
  <c r="P38"/>
  <c r="O38" a="1"/>
  <c r="O38" s="1"/>
  <c r="N38"/>
  <c r="F143" s="1"/>
  <c r="L38"/>
  <c r="E143" s="1"/>
  <c r="J38"/>
  <c r="D143" s="1"/>
  <c r="H38"/>
  <c r="C143" s="1"/>
  <c r="F38"/>
  <c r="B143" s="1"/>
  <c r="A38"/>
  <c r="A143" s="1"/>
  <c r="P37"/>
  <c r="O37" a="1"/>
  <c r="O37" s="1"/>
  <c r="N37"/>
  <c r="F142" s="1"/>
  <c r="L37"/>
  <c r="E142" s="1"/>
  <c r="J37"/>
  <c r="D142" s="1"/>
  <c r="H37"/>
  <c r="C142" s="1"/>
  <c r="F37"/>
  <c r="B142" s="1"/>
  <c r="A37"/>
  <c r="A342" s="1"/>
  <c r="P36"/>
  <c r="O36" a="1"/>
  <c r="O36" s="1"/>
  <c r="N36"/>
  <c r="F141" s="1"/>
  <c r="L36"/>
  <c r="E141" s="1"/>
  <c r="J36"/>
  <c r="D141" s="1"/>
  <c r="H36"/>
  <c r="C141" s="1"/>
  <c r="F36"/>
  <c r="B141" s="1"/>
  <c r="A36"/>
  <c r="A141" s="1"/>
  <c r="P35"/>
  <c r="O35" a="1"/>
  <c r="O35" s="1"/>
  <c r="N35"/>
  <c r="F140" s="1"/>
  <c r="L35"/>
  <c r="E140" s="1"/>
  <c r="J35"/>
  <c r="D140" s="1"/>
  <c r="H35"/>
  <c r="C140" s="1"/>
  <c r="F35"/>
  <c r="B140" s="1"/>
  <c r="A35"/>
  <c r="A140" s="1"/>
  <c r="P34"/>
  <c r="O34" a="1"/>
  <c r="O34" s="1"/>
  <c r="N34"/>
  <c r="F139" s="1"/>
  <c r="L34"/>
  <c r="E139" s="1"/>
  <c r="J34"/>
  <c r="D139" s="1"/>
  <c r="H34"/>
  <c r="C139" s="1"/>
  <c r="F34"/>
  <c r="B139" s="1"/>
  <c r="A34"/>
  <c r="A139" s="1"/>
  <c r="P33"/>
  <c r="O33" a="1"/>
  <c r="O33" s="1"/>
  <c r="N33"/>
  <c r="F138" s="1"/>
  <c r="L33"/>
  <c r="E138" s="1"/>
  <c r="J33"/>
  <c r="D138" s="1"/>
  <c r="H33"/>
  <c r="C138" s="1"/>
  <c r="F33"/>
  <c r="B138" s="1"/>
  <c r="A33"/>
  <c r="A338" s="1"/>
  <c r="P32"/>
  <c r="O32" a="1"/>
  <c r="O32" s="1"/>
  <c r="N32"/>
  <c r="F137" s="1"/>
  <c r="L32"/>
  <c r="E137" s="1"/>
  <c r="J32"/>
  <c r="D137" s="1"/>
  <c r="H32"/>
  <c r="C137" s="1"/>
  <c r="F32"/>
  <c r="B137" s="1"/>
  <c r="A32"/>
  <c r="A137" s="1"/>
  <c r="P31"/>
  <c r="O31" a="1"/>
  <c r="O31" s="1"/>
  <c r="N31"/>
  <c r="F136" s="1"/>
  <c r="L31"/>
  <c r="E136" s="1"/>
  <c r="J31"/>
  <c r="D136" s="1"/>
  <c r="H31"/>
  <c r="C136" s="1"/>
  <c r="F31"/>
  <c r="B136" s="1"/>
  <c r="A31"/>
  <c r="A136" s="1"/>
  <c r="P30"/>
  <c r="O30" a="1"/>
  <c r="O30" s="1"/>
  <c r="N30"/>
  <c r="F135" s="1"/>
  <c r="L30"/>
  <c r="E135" s="1"/>
  <c r="J30"/>
  <c r="D135" s="1"/>
  <c r="H30"/>
  <c r="C135" s="1"/>
  <c r="F30"/>
  <c r="B135" s="1"/>
  <c r="A30"/>
  <c r="A135" s="1"/>
  <c r="P29"/>
  <c r="O29" a="1"/>
  <c r="O29" s="1"/>
  <c r="N29"/>
  <c r="F134" s="1"/>
  <c r="L29"/>
  <c r="E134" s="1"/>
  <c r="J29"/>
  <c r="D134" s="1"/>
  <c r="H29"/>
  <c r="C134" s="1"/>
  <c r="F29"/>
  <c r="B134" s="1"/>
  <c r="A29"/>
  <c r="A334" s="1"/>
  <c r="P28"/>
  <c r="O28" a="1"/>
  <c r="O28" s="1"/>
  <c r="N28"/>
  <c r="F133" s="1"/>
  <c r="L28"/>
  <c r="E133" s="1"/>
  <c r="J28"/>
  <c r="D133" s="1"/>
  <c r="H28"/>
  <c r="C133" s="1"/>
  <c r="F28"/>
  <c r="B133" s="1"/>
  <c r="A28"/>
  <c r="A133" s="1"/>
  <c r="P27"/>
  <c r="O27" a="1"/>
  <c r="O27" s="1"/>
  <c r="N27"/>
  <c r="F132" s="1"/>
  <c r="L27"/>
  <c r="E132" s="1"/>
  <c r="J27"/>
  <c r="D132" s="1"/>
  <c r="H27"/>
  <c r="C132" s="1"/>
  <c r="F27"/>
  <c r="B132" s="1"/>
  <c r="A27"/>
  <c r="A132" s="1"/>
  <c r="P26"/>
  <c r="O26" a="1"/>
  <c r="O26" s="1"/>
  <c r="N26"/>
  <c r="F131" s="1"/>
  <c r="L26"/>
  <c r="E131" s="1"/>
  <c r="J26"/>
  <c r="D131" s="1"/>
  <c r="H26"/>
  <c r="C131" s="1"/>
  <c r="F26"/>
  <c r="B131" s="1"/>
  <c r="A26"/>
  <c r="A131" s="1"/>
  <c r="P25"/>
  <c r="O25" a="1"/>
  <c r="O25" s="1"/>
  <c r="N25"/>
  <c r="F130" s="1"/>
  <c r="L25"/>
  <c r="E130" s="1"/>
  <c r="J25"/>
  <c r="D130" s="1"/>
  <c r="H25"/>
  <c r="C130" s="1"/>
  <c r="F25"/>
  <c r="B130" s="1"/>
  <c r="A25"/>
  <c r="A330" s="1"/>
  <c r="P24"/>
  <c r="O24" a="1"/>
  <c r="O24" s="1"/>
  <c r="N24"/>
  <c r="F129" s="1"/>
  <c r="L24"/>
  <c r="E129" s="1"/>
  <c r="J24"/>
  <c r="D129" s="1"/>
  <c r="H24"/>
  <c r="C129" s="1"/>
  <c r="F24"/>
  <c r="B129" s="1"/>
  <c r="A24"/>
  <c r="A129" s="1"/>
  <c r="P23"/>
  <c r="O23" a="1"/>
  <c r="O23" s="1"/>
  <c r="N23"/>
  <c r="F128" s="1"/>
  <c r="L23"/>
  <c r="E128" s="1"/>
  <c r="J23"/>
  <c r="D128" s="1"/>
  <c r="H23"/>
  <c r="C128" s="1"/>
  <c r="F23"/>
  <c r="B128" s="1"/>
  <c r="A23"/>
  <c r="A128" s="1"/>
  <c r="P22"/>
  <c r="O22" a="1"/>
  <c r="O22" s="1"/>
  <c r="N22"/>
  <c r="F127" s="1"/>
  <c r="L22"/>
  <c r="E127" s="1"/>
  <c r="J22"/>
  <c r="D127" s="1"/>
  <c r="H22"/>
  <c r="C127" s="1"/>
  <c r="F22"/>
  <c r="B127" s="1"/>
  <c r="A22"/>
  <c r="A127" s="1"/>
  <c r="P21"/>
  <c r="O21" a="1"/>
  <c r="O21" s="1"/>
  <c r="N21"/>
  <c r="F126" s="1"/>
  <c r="L21"/>
  <c r="E126" s="1"/>
  <c r="J21"/>
  <c r="D126" s="1"/>
  <c r="H21"/>
  <c r="C126" s="1"/>
  <c r="F21"/>
  <c r="B126" s="1"/>
  <c r="A21"/>
  <c r="A326" s="1"/>
  <c r="P20"/>
  <c r="O20" a="1"/>
  <c r="O20" s="1"/>
  <c r="N20"/>
  <c r="F125" s="1"/>
  <c r="L20"/>
  <c r="E125" s="1"/>
  <c r="J20"/>
  <c r="D125" s="1"/>
  <c r="H20"/>
  <c r="C125" s="1"/>
  <c r="F20"/>
  <c r="B125" s="1"/>
  <c r="A20"/>
  <c r="A125" s="1"/>
  <c r="P19"/>
  <c r="O19" a="1"/>
  <c r="O19" s="1"/>
  <c r="N19"/>
  <c r="F124" s="1"/>
  <c r="L19"/>
  <c r="E124" s="1"/>
  <c r="J19"/>
  <c r="D124" s="1"/>
  <c r="H19"/>
  <c r="C124" s="1"/>
  <c r="F19"/>
  <c r="B124" s="1"/>
  <c r="A19"/>
  <c r="A124" s="1"/>
  <c r="P18"/>
  <c r="O18" a="1"/>
  <c r="O18" s="1"/>
  <c r="N18"/>
  <c r="F123" s="1"/>
  <c r="L18"/>
  <c r="E123" s="1"/>
  <c r="J18"/>
  <c r="D123" s="1"/>
  <c r="H18"/>
  <c r="C123" s="1"/>
  <c r="F18"/>
  <c r="B123" s="1"/>
  <c r="A18"/>
  <c r="A123" s="1"/>
  <c r="P17"/>
  <c r="O17" a="1"/>
  <c r="O17" s="1"/>
  <c r="N17"/>
  <c r="F122" s="1"/>
  <c r="L17"/>
  <c r="E122" s="1"/>
  <c r="J17"/>
  <c r="D122" s="1"/>
  <c r="H17"/>
  <c r="C122" s="1"/>
  <c r="F17"/>
  <c r="B122" s="1"/>
  <c r="A17"/>
  <c r="A322" s="1"/>
  <c r="P16"/>
  <c r="O16" a="1"/>
  <c r="O16" s="1"/>
  <c r="N16"/>
  <c r="F121" s="1"/>
  <c r="L16"/>
  <c r="E121" s="1"/>
  <c r="J16"/>
  <c r="D121" s="1"/>
  <c r="H16"/>
  <c r="C121" s="1"/>
  <c r="F16"/>
  <c r="B121" s="1"/>
  <c r="A16"/>
  <c r="A121" s="1"/>
  <c r="P15"/>
  <c r="O15" a="1"/>
  <c r="O15" s="1"/>
  <c r="N15"/>
  <c r="F120" s="1"/>
  <c r="L15"/>
  <c r="E120" s="1"/>
  <c r="J15"/>
  <c r="D120" s="1"/>
  <c r="H15"/>
  <c r="C120" s="1"/>
  <c r="F15"/>
  <c r="B120" s="1"/>
  <c r="A15"/>
  <c r="A120" s="1"/>
  <c r="P14"/>
  <c r="O14" a="1"/>
  <c r="O14" s="1"/>
  <c r="N14"/>
  <c r="F119" s="1"/>
  <c r="L14"/>
  <c r="E119" s="1"/>
  <c r="J14"/>
  <c r="D119" s="1"/>
  <c r="H14"/>
  <c r="C119" s="1"/>
  <c r="F14"/>
  <c r="B119" s="1"/>
  <c r="A14"/>
  <c r="A119" s="1"/>
  <c r="P13"/>
  <c r="O13" a="1"/>
  <c r="O13" s="1"/>
  <c r="N13"/>
  <c r="F118" s="1"/>
  <c r="L13"/>
  <c r="E118" s="1"/>
  <c r="J13"/>
  <c r="D118" s="1"/>
  <c r="H13"/>
  <c r="C118" s="1"/>
  <c r="F13"/>
  <c r="B118" s="1"/>
  <c r="A13"/>
  <c r="A318" s="1"/>
  <c r="P12"/>
  <c r="O12" a="1"/>
  <c r="O12" s="1"/>
  <c r="N12"/>
  <c r="F117" s="1"/>
  <c r="L12"/>
  <c r="E117" s="1"/>
  <c r="J12"/>
  <c r="D117" s="1"/>
  <c r="H12"/>
  <c r="F12"/>
  <c r="B117" s="1"/>
  <c r="A12"/>
  <c r="A117" s="1"/>
  <c r="P11"/>
  <c r="O11" a="1"/>
  <c r="O11" s="1"/>
  <c r="N11"/>
  <c r="F116" s="1"/>
  <c r="L11"/>
  <c r="E116" s="1"/>
  <c r="J11"/>
  <c r="D116" s="1"/>
  <c r="H11"/>
  <c r="C116" s="1"/>
  <c r="F11"/>
  <c r="B116" s="1"/>
  <c r="A11"/>
  <c r="A116" s="1"/>
  <c r="P10"/>
  <c r="O10" a="1"/>
  <c r="O10" s="1"/>
  <c r="N10"/>
  <c r="F115" s="1"/>
  <c r="L10"/>
  <c r="E115" s="1"/>
  <c r="J10"/>
  <c r="D115" s="1"/>
  <c r="H10"/>
  <c r="F10"/>
  <c r="B115" s="1"/>
  <c r="A10"/>
  <c r="P9"/>
  <c r="O9" a="1"/>
  <c r="O9" s="1"/>
  <c r="N9"/>
  <c r="F114" s="1"/>
  <c r="L9"/>
  <c r="E114" s="1"/>
  <c r="J9"/>
  <c r="D114" s="1"/>
  <c r="H9"/>
  <c r="C114" s="1"/>
  <c r="F9"/>
  <c r="B114" s="1"/>
  <c r="A9"/>
  <c r="P8"/>
  <c r="O8" a="1"/>
  <c r="O8" s="1"/>
  <c r="N8"/>
  <c r="F113" s="1"/>
  <c r="L8"/>
  <c r="E113" s="1"/>
  <c r="J8"/>
  <c r="D113" s="1"/>
  <c r="H8"/>
  <c r="F8"/>
  <c r="B113" s="1"/>
  <c r="A8"/>
  <c r="A216" s="1"/>
  <c r="P7"/>
  <c r="N7"/>
  <c r="L7"/>
  <c r="J7"/>
  <c r="H7"/>
  <c r="C112" s="1"/>
  <c r="F7"/>
  <c r="F2"/>
  <c r="A115" l="1"/>
  <c r="A218"/>
  <c r="B318"/>
  <c r="C318"/>
  <c r="D318"/>
  <c r="D402"/>
  <c r="C402"/>
  <c r="B402"/>
  <c r="D398"/>
  <c r="C398"/>
  <c r="B398"/>
  <c r="D394"/>
  <c r="C394"/>
  <c r="B394"/>
  <c r="B390"/>
  <c r="C390"/>
  <c r="D390"/>
  <c r="B386"/>
  <c r="C386"/>
  <c r="D386"/>
  <c r="B382"/>
  <c r="C382"/>
  <c r="D382"/>
  <c r="B378"/>
  <c r="C378"/>
  <c r="D378"/>
  <c r="B374"/>
  <c r="C374"/>
  <c r="D374"/>
  <c r="B370"/>
  <c r="C370"/>
  <c r="D370"/>
  <c r="B366"/>
  <c r="C366"/>
  <c r="D366"/>
  <c r="B362"/>
  <c r="C362"/>
  <c r="D362"/>
  <c r="B358"/>
  <c r="C358"/>
  <c r="D358"/>
  <c r="B354"/>
  <c r="C354"/>
  <c r="D354"/>
  <c r="Q14" a="1"/>
  <c r="Q14" s="1"/>
  <c r="Q20" a="1"/>
  <c r="Q20" s="1"/>
  <c r="Q24" a="1"/>
  <c r="Q24" s="1"/>
  <c r="G153"/>
  <c r="G157"/>
  <c r="G161"/>
  <c r="N117"/>
  <c r="N121"/>
  <c r="N125"/>
  <c r="N129"/>
  <c r="N133"/>
  <c r="N137"/>
  <c r="N141"/>
  <c r="N145"/>
  <c r="N149"/>
  <c r="N153"/>
  <c r="N157"/>
  <c r="N161"/>
  <c r="N165"/>
  <c r="N169"/>
  <c r="N173"/>
  <c r="N177"/>
  <c r="N181"/>
  <c r="N185"/>
  <c r="N189"/>
  <c r="N193"/>
  <c r="N197"/>
  <c r="N201"/>
  <c r="A604"/>
  <c r="A410"/>
  <c r="D403"/>
  <c r="C403"/>
  <c r="B403"/>
  <c r="D399"/>
  <c r="C399"/>
  <c r="B399"/>
  <c r="D395"/>
  <c r="C395"/>
  <c r="B395"/>
  <c r="C391"/>
  <c r="B391"/>
  <c r="D391"/>
  <c r="C387"/>
  <c r="B387"/>
  <c r="D387"/>
  <c r="C383"/>
  <c r="B383"/>
  <c r="D383"/>
  <c r="C379"/>
  <c r="B379"/>
  <c r="D379"/>
  <c r="C375"/>
  <c r="B375"/>
  <c r="D375"/>
  <c r="C371"/>
  <c r="B371"/>
  <c r="D371"/>
  <c r="C367"/>
  <c r="B367"/>
  <c r="D367"/>
  <c r="C363"/>
  <c r="B363"/>
  <c r="D363"/>
  <c r="C359"/>
  <c r="B359"/>
  <c r="D359"/>
  <c r="C355"/>
  <c r="B355"/>
  <c r="D355"/>
  <c r="C351"/>
  <c r="B351"/>
  <c r="D351"/>
  <c r="B350"/>
  <c r="C350"/>
  <c r="D350"/>
  <c r="B400"/>
  <c r="D400"/>
  <c r="C400"/>
  <c r="B396"/>
  <c r="D396"/>
  <c r="C396"/>
  <c r="D392"/>
  <c r="C392"/>
  <c r="B392"/>
  <c r="D388"/>
  <c r="C388"/>
  <c r="B388"/>
  <c r="D384"/>
  <c r="C384"/>
  <c r="B384"/>
  <c r="D380"/>
  <c r="C380"/>
  <c r="B380"/>
  <c r="D376"/>
  <c r="C376"/>
  <c r="B376"/>
  <c r="D372"/>
  <c r="C372"/>
  <c r="B372"/>
  <c r="D368"/>
  <c r="C368"/>
  <c r="B368"/>
  <c r="D364"/>
  <c r="C364"/>
  <c r="B364"/>
  <c r="D360"/>
  <c r="C360"/>
  <c r="B360"/>
  <c r="D356"/>
  <c r="C356"/>
  <c r="B356"/>
  <c r="D352"/>
  <c r="C352"/>
  <c r="B352"/>
  <c r="Q18" a="1"/>
  <c r="Q18" s="1"/>
  <c r="Q21" a="1"/>
  <c r="Q21" s="1"/>
  <c r="Q25" a="1"/>
  <c r="Q25" s="1"/>
  <c r="Q26" a="1"/>
  <c r="Q26" s="1"/>
  <c r="Q28" a="1"/>
  <c r="Q28" s="1"/>
  <c r="Q29" a="1"/>
  <c r="Q29" s="1"/>
  <c r="Q30" a="1"/>
  <c r="Q30" s="1"/>
  <c r="Q34" a="1"/>
  <c r="Q34" s="1"/>
  <c r="Q35" a="1"/>
  <c r="Q35" s="1"/>
  <c r="Q37" a="1"/>
  <c r="Q37" s="1"/>
  <c r="Q38" a="1"/>
  <c r="Q38" s="1"/>
  <c r="Q40" a="1"/>
  <c r="Q40" s="1"/>
  <c r="Q42" a="1"/>
  <c r="Q42" s="1"/>
  <c r="G148"/>
  <c r="G151"/>
  <c r="G155"/>
  <c r="G159"/>
  <c r="G163"/>
  <c r="N119"/>
  <c r="N123"/>
  <c r="N127"/>
  <c r="N131"/>
  <c r="N135"/>
  <c r="N139"/>
  <c r="N143"/>
  <c r="N147"/>
  <c r="N151"/>
  <c r="N155"/>
  <c r="N159"/>
  <c r="N163"/>
  <c r="N167"/>
  <c r="N171"/>
  <c r="N175"/>
  <c r="N179"/>
  <c r="N183"/>
  <c r="N187"/>
  <c r="N191"/>
  <c r="N195"/>
  <c r="N199"/>
  <c r="N203"/>
  <c r="A507"/>
  <c r="A313"/>
  <c r="A314"/>
  <c r="A217"/>
  <c r="B322"/>
  <c r="C322"/>
  <c r="D322"/>
  <c r="B326"/>
  <c r="C326"/>
  <c r="D326"/>
  <c r="B330"/>
  <c r="C330"/>
  <c r="D330"/>
  <c r="B334"/>
  <c r="C334"/>
  <c r="D334"/>
  <c r="B338"/>
  <c r="C338"/>
  <c r="D338"/>
  <c r="B342"/>
  <c r="C342"/>
  <c r="D342"/>
  <c r="B346"/>
  <c r="C346"/>
  <c r="D346"/>
  <c r="B401"/>
  <c r="D401"/>
  <c r="C401"/>
  <c r="C397"/>
  <c r="B397"/>
  <c r="D397"/>
  <c r="C393"/>
  <c r="B393"/>
  <c r="D393"/>
  <c r="D389"/>
  <c r="B389"/>
  <c r="C389"/>
  <c r="D385"/>
  <c r="B385"/>
  <c r="C385"/>
  <c r="D381"/>
  <c r="B381"/>
  <c r="C381"/>
  <c r="D377"/>
  <c r="B377"/>
  <c r="C377"/>
  <c r="D373"/>
  <c r="B373"/>
  <c r="C373"/>
  <c r="D369"/>
  <c r="B369"/>
  <c r="C369"/>
  <c r="D365"/>
  <c r="B365"/>
  <c r="C365"/>
  <c r="D361"/>
  <c r="B361"/>
  <c r="C361"/>
  <c r="D357"/>
  <c r="B357"/>
  <c r="C357"/>
  <c r="D353"/>
  <c r="B353"/>
  <c r="C353"/>
  <c r="Q15" a="1"/>
  <c r="Q15" s="1"/>
  <c r="Q17" a="1"/>
  <c r="Q17" s="1"/>
  <c r="Q22" a="1"/>
  <c r="Q22" s="1"/>
  <c r="Q43" a="1"/>
  <c r="Q43" s="1"/>
  <c r="G152"/>
  <c r="G156"/>
  <c r="G160"/>
  <c r="N118"/>
  <c r="N122"/>
  <c r="N126"/>
  <c r="N130"/>
  <c r="N134"/>
  <c r="N138"/>
  <c r="N142"/>
  <c r="N146"/>
  <c r="N150"/>
  <c r="N154"/>
  <c r="N158"/>
  <c r="N162"/>
  <c r="N166"/>
  <c r="N170"/>
  <c r="N174"/>
  <c r="N178"/>
  <c r="N182"/>
  <c r="N186"/>
  <c r="N190"/>
  <c r="N194"/>
  <c r="N198"/>
  <c r="N202"/>
  <c r="A113"/>
  <c r="B405"/>
  <c r="S111"/>
  <c r="B308"/>
  <c r="R111"/>
  <c r="R116"/>
  <c r="Q116"/>
  <c r="U116"/>
  <c r="T116"/>
  <c r="S116"/>
  <c r="O116"/>
  <c r="R120"/>
  <c r="Q120"/>
  <c r="U120"/>
  <c r="T120"/>
  <c r="O120"/>
  <c r="S120"/>
  <c r="R124"/>
  <c r="O124"/>
  <c r="Q124"/>
  <c r="U124"/>
  <c r="T124"/>
  <c r="S124"/>
  <c r="R128"/>
  <c r="Q128"/>
  <c r="U128"/>
  <c r="O128"/>
  <c r="T128"/>
  <c r="S128"/>
  <c r="R132"/>
  <c r="Q132"/>
  <c r="U132"/>
  <c r="T132"/>
  <c r="S132"/>
  <c r="O132"/>
  <c r="R136"/>
  <c r="Q136"/>
  <c r="U136"/>
  <c r="T136"/>
  <c r="O136"/>
  <c r="S136"/>
  <c r="R140"/>
  <c r="O140"/>
  <c r="Q140"/>
  <c r="U140"/>
  <c r="T140"/>
  <c r="S140"/>
  <c r="R144"/>
  <c r="Q144"/>
  <c r="U144"/>
  <c r="T144"/>
  <c r="S144"/>
  <c r="O144"/>
  <c r="R148"/>
  <c r="Q148"/>
  <c r="U148"/>
  <c r="T148"/>
  <c r="O148"/>
  <c r="S148"/>
  <c r="R152"/>
  <c r="O152"/>
  <c r="Q152"/>
  <c r="U152"/>
  <c r="T152"/>
  <c r="S152"/>
  <c r="R156"/>
  <c r="Q156"/>
  <c r="U156"/>
  <c r="O156"/>
  <c r="T156"/>
  <c r="S156"/>
  <c r="R160"/>
  <c r="Q160"/>
  <c r="U160"/>
  <c r="T160"/>
  <c r="S160"/>
  <c r="O160"/>
  <c r="R164"/>
  <c r="Q164"/>
  <c r="U164"/>
  <c r="T164"/>
  <c r="O164"/>
  <c r="S164"/>
  <c r="R168"/>
  <c r="O168"/>
  <c r="Q168"/>
  <c r="U168"/>
  <c r="T168"/>
  <c r="S168"/>
  <c r="R172"/>
  <c r="Q172"/>
  <c r="U172"/>
  <c r="T172"/>
  <c r="S172"/>
  <c r="O172"/>
  <c r="R176"/>
  <c r="Q176"/>
  <c r="U176"/>
  <c r="T176"/>
  <c r="O176"/>
  <c r="S176"/>
  <c r="R180"/>
  <c r="O180"/>
  <c r="Q180"/>
  <c r="U180"/>
  <c r="T180"/>
  <c r="S180"/>
  <c r="R184"/>
  <c r="Q184"/>
  <c r="U184"/>
  <c r="T184"/>
  <c r="S184"/>
  <c r="O184"/>
  <c r="R188"/>
  <c r="Q188"/>
  <c r="U188"/>
  <c r="T188"/>
  <c r="O188"/>
  <c r="S188"/>
  <c r="R192"/>
  <c r="O192"/>
  <c r="Q192"/>
  <c r="U192"/>
  <c r="T192"/>
  <c r="S192"/>
  <c r="R196"/>
  <c r="Q196"/>
  <c r="U196"/>
  <c r="O196"/>
  <c r="T196"/>
  <c r="S196"/>
  <c r="R200"/>
  <c r="Q200"/>
  <c r="U200"/>
  <c r="T200"/>
  <c r="S200"/>
  <c r="O200"/>
  <c r="B211"/>
  <c r="Q111"/>
  <c r="S119"/>
  <c r="R119"/>
  <c r="Q119"/>
  <c r="U119"/>
  <c r="O119"/>
  <c r="T119"/>
  <c r="S123"/>
  <c r="R123"/>
  <c r="Q123"/>
  <c r="U123"/>
  <c r="O123"/>
  <c r="T123"/>
  <c r="S127"/>
  <c r="R127"/>
  <c r="Q127"/>
  <c r="U127"/>
  <c r="O127"/>
  <c r="T127"/>
  <c r="S131"/>
  <c r="R131"/>
  <c r="Q131"/>
  <c r="U131"/>
  <c r="O131"/>
  <c r="T131"/>
  <c r="S135"/>
  <c r="R135"/>
  <c r="Q135"/>
  <c r="U135"/>
  <c r="O135"/>
  <c r="T135"/>
  <c r="S139"/>
  <c r="R139"/>
  <c r="Q139"/>
  <c r="U139"/>
  <c r="O139"/>
  <c r="T139"/>
  <c r="S143"/>
  <c r="R143"/>
  <c r="Q143"/>
  <c r="U143"/>
  <c r="O143"/>
  <c r="T143"/>
  <c r="S147"/>
  <c r="R147"/>
  <c r="Q147"/>
  <c r="U147"/>
  <c r="O147"/>
  <c r="T147"/>
  <c r="S151"/>
  <c r="R151"/>
  <c r="Q151"/>
  <c r="U151"/>
  <c r="O151"/>
  <c r="T151"/>
  <c r="S155"/>
  <c r="R155"/>
  <c r="Q155"/>
  <c r="U155"/>
  <c r="O155"/>
  <c r="T155"/>
  <c r="S159"/>
  <c r="R159"/>
  <c r="Q159"/>
  <c r="U159"/>
  <c r="O159"/>
  <c r="T159"/>
  <c r="S163"/>
  <c r="R163"/>
  <c r="Q163"/>
  <c r="U163"/>
  <c r="O163"/>
  <c r="T163"/>
  <c r="S167"/>
  <c r="R167"/>
  <c r="Q167"/>
  <c r="U167"/>
  <c r="O167"/>
  <c r="T167"/>
  <c r="S171"/>
  <c r="R171"/>
  <c r="Q171"/>
  <c r="U171"/>
  <c r="O171"/>
  <c r="T171"/>
  <c r="S175"/>
  <c r="R175"/>
  <c r="Q175"/>
  <c r="U175"/>
  <c r="O175"/>
  <c r="T175"/>
  <c r="S179"/>
  <c r="R179"/>
  <c r="Q179"/>
  <c r="U179"/>
  <c r="O179"/>
  <c r="T179"/>
  <c r="S183"/>
  <c r="R183"/>
  <c r="Q183"/>
  <c r="U183"/>
  <c r="O183"/>
  <c r="T183"/>
  <c r="S187"/>
  <c r="R187"/>
  <c r="Q187"/>
  <c r="U187"/>
  <c r="O187"/>
  <c r="T187"/>
  <c r="S191"/>
  <c r="R191"/>
  <c r="Q191"/>
  <c r="U191"/>
  <c r="O191"/>
  <c r="T191"/>
  <c r="S195"/>
  <c r="R195"/>
  <c r="Q195"/>
  <c r="U195"/>
  <c r="O195"/>
  <c r="T195"/>
  <c r="S199"/>
  <c r="R199"/>
  <c r="Q199"/>
  <c r="U199"/>
  <c r="O199"/>
  <c r="T199"/>
  <c r="S203"/>
  <c r="R203"/>
  <c r="Q203"/>
  <c r="U203"/>
  <c r="O203"/>
  <c r="T203"/>
  <c r="T118"/>
  <c r="S118"/>
  <c r="R118"/>
  <c r="Q118"/>
  <c r="U118"/>
  <c r="O118"/>
  <c r="T122"/>
  <c r="S122"/>
  <c r="R122"/>
  <c r="Q122"/>
  <c r="U122"/>
  <c r="O122"/>
  <c r="T126"/>
  <c r="S126"/>
  <c r="R126"/>
  <c r="Q126"/>
  <c r="U126"/>
  <c r="O126"/>
  <c r="T130"/>
  <c r="S130"/>
  <c r="R130"/>
  <c r="Q130"/>
  <c r="U130"/>
  <c r="O130"/>
  <c r="T134"/>
  <c r="S134"/>
  <c r="R134"/>
  <c r="Q134"/>
  <c r="U134"/>
  <c r="O134"/>
  <c r="T138"/>
  <c r="S138"/>
  <c r="R138"/>
  <c r="Q138"/>
  <c r="U138"/>
  <c r="O138"/>
  <c r="T142"/>
  <c r="S142"/>
  <c r="R142"/>
  <c r="Q142"/>
  <c r="U142"/>
  <c r="O142"/>
  <c r="T146"/>
  <c r="S146"/>
  <c r="R146"/>
  <c r="Q146"/>
  <c r="U146"/>
  <c r="O146"/>
  <c r="T150"/>
  <c r="S150"/>
  <c r="R150"/>
  <c r="Q150"/>
  <c r="U150"/>
  <c r="O150"/>
  <c r="T154"/>
  <c r="S154"/>
  <c r="R154"/>
  <c r="Q154"/>
  <c r="U154"/>
  <c r="O154"/>
  <c r="T158"/>
  <c r="S158"/>
  <c r="R158"/>
  <c r="Q158"/>
  <c r="U158"/>
  <c r="O158"/>
  <c r="T162"/>
  <c r="S162"/>
  <c r="R162"/>
  <c r="Q162"/>
  <c r="U162"/>
  <c r="O162"/>
  <c r="T166"/>
  <c r="S166"/>
  <c r="R166"/>
  <c r="Q166"/>
  <c r="U166"/>
  <c r="O166"/>
  <c r="T170"/>
  <c r="S170"/>
  <c r="R170"/>
  <c r="Q170"/>
  <c r="U170"/>
  <c r="O170"/>
  <c r="T174"/>
  <c r="S174"/>
  <c r="R174"/>
  <c r="Q174"/>
  <c r="U174"/>
  <c r="O174"/>
  <c r="T178"/>
  <c r="S178"/>
  <c r="R178"/>
  <c r="Q178"/>
  <c r="U178"/>
  <c r="O178"/>
  <c r="T182"/>
  <c r="S182"/>
  <c r="R182"/>
  <c r="Q182"/>
  <c r="U182"/>
  <c r="O182"/>
  <c r="T186"/>
  <c r="S186"/>
  <c r="R186"/>
  <c r="Q186"/>
  <c r="U186"/>
  <c r="O186"/>
  <c r="T190"/>
  <c r="S190"/>
  <c r="R190"/>
  <c r="Q190"/>
  <c r="U190"/>
  <c r="O190"/>
  <c r="T194"/>
  <c r="S194"/>
  <c r="R194"/>
  <c r="Q194"/>
  <c r="U194"/>
  <c r="O194"/>
  <c r="T198"/>
  <c r="S198"/>
  <c r="R198"/>
  <c r="Q198"/>
  <c r="U198"/>
  <c r="O198"/>
  <c r="T202"/>
  <c r="S202"/>
  <c r="R202"/>
  <c r="Q202"/>
  <c r="U202"/>
  <c r="O202"/>
  <c r="Q117"/>
  <c r="U117"/>
  <c r="O117"/>
  <c r="T117"/>
  <c r="S117"/>
  <c r="R117"/>
  <c r="Q121"/>
  <c r="U121"/>
  <c r="O121"/>
  <c r="T121"/>
  <c r="S121"/>
  <c r="R121"/>
  <c r="Q125"/>
  <c r="U125"/>
  <c r="O125"/>
  <c r="T125"/>
  <c r="S125"/>
  <c r="R125"/>
  <c r="Q129"/>
  <c r="U129"/>
  <c r="O129"/>
  <c r="T129"/>
  <c r="S129"/>
  <c r="R129"/>
  <c r="Q133"/>
  <c r="U133"/>
  <c r="O133"/>
  <c r="T133"/>
  <c r="S133"/>
  <c r="R133"/>
  <c r="Q137"/>
  <c r="U137"/>
  <c r="O137"/>
  <c r="T137"/>
  <c r="S137"/>
  <c r="R137"/>
  <c r="Q141"/>
  <c r="U141"/>
  <c r="O141"/>
  <c r="T141"/>
  <c r="S141"/>
  <c r="R141"/>
  <c r="Q145"/>
  <c r="U145"/>
  <c r="O145"/>
  <c r="T145"/>
  <c r="S145"/>
  <c r="R145"/>
  <c r="Q149"/>
  <c r="U149"/>
  <c r="O149"/>
  <c r="T149"/>
  <c r="S149"/>
  <c r="R149"/>
  <c r="Q153"/>
  <c r="U153"/>
  <c r="O153"/>
  <c r="T153"/>
  <c r="S153"/>
  <c r="R153"/>
  <c r="Q157"/>
  <c r="U157"/>
  <c r="O157"/>
  <c r="T157"/>
  <c r="S157"/>
  <c r="R157"/>
  <c r="Q161"/>
  <c r="U161"/>
  <c r="O161"/>
  <c r="T161"/>
  <c r="S161"/>
  <c r="R161"/>
  <c r="Q165"/>
  <c r="U165"/>
  <c r="O165"/>
  <c r="T165"/>
  <c r="S165"/>
  <c r="R165"/>
  <c r="Q169"/>
  <c r="U169"/>
  <c r="O169"/>
  <c r="T169"/>
  <c r="S169"/>
  <c r="R169"/>
  <c r="Q173"/>
  <c r="U173"/>
  <c r="O173"/>
  <c r="T173"/>
  <c r="S173"/>
  <c r="R173"/>
  <c r="Q177"/>
  <c r="U177"/>
  <c r="O177"/>
  <c r="T177"/>
  <c r="S177"/>
  <c r="R177"/>
  <c r="Q181"/>
  <c r="U181"/>
  <c r="O181"/>
  <c r="T181"/>
  <c r="S181"/>
  <c r="R181"/>
  <c r="Q185"/>
  <c r="U185"/>
  <c r="T185"/>
  <c r="S185"/>
  <c r="R185"/>
  <c r="O185"/>
  <c r="Q189"/>
  <c r="U189"/>
  <c r="O189"/>
  <c r="T189"/>
  <c r="S189"/>
  <c r="R189"/>
  <c r="Q193"/>
  <c r="U193"/>
  <c r="O193"/>
  <c r="T193"/>
  <c r="S193"/>
  <c r="R193"/>
  <c r="Q197"/>
  <c r="U197"/>
  <c r="T197"/>
  <c r="S197"/>
  <c r="R197"/>
  <c r="O197"/>
  <c r="Q201"/>
  <c r="U201"/>
  <c r="T201"/>
  <c r="S201"/>
  <c r="O201"/>
  <c r="R201"/>
  <c r="N115"/>
  <c r="A195"/>
  <c r="A189"/>
  <c r="A185"/>
  <c r="A181"/>
  <c r="A177"/>
  <c r="A173"/>
  <c r="A169"/>
  <c r="A165"/>
  <c r="A161"/>
  <c r="A157"/>
  <c r="A153"/>
  <c r="A297"/>
  <c r="A281"/>
  <c r="A265"/>
  <c r="A681"/>
  <c r="A665"/>
  <c r="A649"/>
  <c r="A596"/>
  <c r="A580"/>
  <c r="A564"/>
  <c r="A548"/>
  <c r="A479"/>
  <c r="A463"/>
  <c r="A202"/>
  <c r="A198"/>
  <c r="A194"/>
  <c r="A190"/>
  <c r="A301"/>
  <c r="A285"/>
  <c r="A269"/>
  <c r="A685"/>
  <c r="A669"/>
  <c r="A653"/>
  <c r="A584"/>
  <c r="A568"/>
  <c r="A552"/>
  <c r="A483"/>
  <c r="A467"/>
  <c r="A451"/>
  <c r="A305"/>
  <c r="A289"/>
  <c r="A273"/>
  <c r="A257"/>
  <c r="A689"/>
  <c r="A673"/>
  <c r="A657"/>
  <c r="A588"/>
  <c r="A572"/>
  <c r="A556"/>
  <c r="A471"/>
  <c r="A455"/>
  <c r="A293"/>
  <c r="A277"/>
  <c r="A261"/>
  <c r="A693"/>
  <c r="A677"/>
  <c r="A661"/>
  <c r="A645"/>
  <c r="A592"/>
  <c r="A576"/>
  <c r="A560"/>
  <c r="A475"/>
  <c r="A459"/>
  <c r="N114"/>
  <c r="A150"/>
  <c r="A146"/>
  <c r="A142"/>
  <c r="A138"/>
  <c r="A134"/>
  <c r="A130"/>
  <c r="A126"/>
  <c r="A122"/>
  <c r="A118"/>
  <c r="A114"/>
  <c r="A306"/>
  <c r="A302"/>
  <c r="A298"/>
  <c r="A294"/>
  <c r="A290"/>
  <c r="A286"/>
  <c r="A282"/>
  <c r="A278"/>
  <c r="A274"/>
  <c r="A270"/>
  <c r="A266"/>
  <c r="A262"/>
  <c r="A258"/>
  <c r="A254"/>
  <c r="A250"/>
  <c r="A246"/>
  <c r="A242"/>
  <c r="A238"/>
  <c r="A234"/>
  <c r="A230"/>
  <c r="A226"/>
  <c r="A222"/>
  <c r="A694"/>
  <c r="A690"/>
  <c r="A686"/>
  <c r="A682"/>
  <c r="A678"/>
  <c r="A674"/>
  <c r="A670"/>
  <c r="A666"/>
  <c r="A662"/>
  <c r="A658"/>
  <c r="A654"/>
  <c r="A650"/>
  <c r="A646"/>
  <c r="A642"/>
  <c r="A638"/>
  <c r="A634"/>
  <c r="A630"/>
  <c r="A626"/>
  <c r="A622"/>
  <c r="A618"/>
  <c r="A614"/>
  <c r="A610"/>
  <c r="A606"/>
  <c r="A597"/>
  <c r="A593"/>
  <c r="A589"/>
  <c r="A585"/>
  <c r="A581"/>
  <c r="A577"/>
  <c r="A573"/>
  <c r="A569"/>
  <c r="A565"/>
  <c r="A561"/>
  <c r="A557"/>
  <c r="A553"/>
  <c r="A549"/>
  <c r="A545"/>
  <c r="A541"/>
  <c r="A537"/>
  <c r="A533"/>
  <c r="A529"/>
  <c r="A525"/>
  <c r="A521"/>
  <c r="A517"/>
  <c r="A513"/>
  <c r="A509"/>
  <c r="A500"/>
  <c r="A496"/>
  <c r="A492"/>
  <c r="A488"/>
  <c r="A484"/>
  <c r="A480"/>
  <c r="A476"/>
  <c r="A472"/>
  <c r="A468"/>
  <c r="A464"/>
  <c r="A460"/>
  <c r="A456"/>
  <c r="A452"/>
  <c r="A448"/>
  <c r="A444"/>
  <c r="A440"/>
  <c r="A436"/>
  <c r="A432"/>
  <c r="A428"/>
  <c r="A424"/>
  <c r="A420"/>
  <c r="A416"/>
  <c r="A412"/>
  <c r="A347"/>
  <c r="A343"/>
  <c r="A339"/>
  <c r="A335"/>
  <c r="A331"/>
  <c r="A327"/>
  <c r="A323"/>
  <c r="A319"/>
  <c r="A315"/>
  <c r="A303"/>
  <c r="A299"/>
  <c r="A295"/>
  <c r="A291"/>
  <c r="A287"/>
  <c r="A283"/>
  <c r="A279"/>
  <c r="A275"/>
  <c r="A271"/>
  <c r="A267"/>
  <c r="A263"/>
  <c r="A259"/>
  <c r="A255"/>
  <c r="A251"/>
  <c r="A247"/>
  <c r="A243"/>
  <c r="A239"/>
  <c r="A235"/>
  <c r="A231"/>
  <c r="A227"/>
  <c r="A223"/>
  <c r="A219"/>
  <c r="A691"/>
  <c r="A687"/>
  <c r="A683"/>
  <c r="A679"/>
  <c r="A675"/>
  <c r="A671"/>
  <c r="A667"/>
  <c r="A663"/>
  <c r="A659"/>
  <c r="A655"/>
  <c r="A651"/>
  <c r="A647"/>
  <c r="A643"/>
  <c r="A639"/>
  <c r="A635"/>
  <c r="A631"/>
  <c r="A627"/>
  <c r="A623"/>
  <c r="A619"/>
  <c r="A615"/>
  <c r="A611"/>
  <c r="A607"/>
  <c r="A594"/>
  <c r="A590"/>
  <c r="A586"/>
  <c r="A582"/>
  <c r="A578"/>
  <c r="A574"/>
  <c r="A570"/>
  <c r="A566"/>
  <c r="A562"/>
  <c r="A558"/>
  <c r="A554"/>
  <c r="A550"/>
  <c r="A546"/>
  <c r="A542"/>
  <c r="A538"/>
  <c r="A534"/>
  <c r="A530"/>
  <c r="A526"/>
  <c r="A522"/>
  <c r="A518"/>
  <c r="A514"/>
  <c r="A510"/>
  <c r="A497"/>
  <c r="A493"/>
  <c r="A489"/>
  <c r="A485"/>
  <c r="A481"/>
  <c r="A477"/>
  <c r="A473"/>
  <c r="A469"/>
  <c r="A465"/>
  <c r="A461"/>
  <c r="A457"/>
  <c r="A453"/>
  <c r="A449"/>
  <c r="A445"/>
  <c r="A441"/>
  <c r="A437"/>
  <c r="A433"/>
  <c r="A429"/>
  <c r="A425"/>
  <c r="A421"/>
  <c r="A417"/>
  <c r="A413"/>
  <c r="A348"/>
  <c r="A344"/>
  <c r="A340"/>
  <c r="A336"/>
  <c r="A332"/>
  <c r="A328"/>
  <c r="A324"/>
  <c r="A320"/>
  <c r="A316"/>
  <c r="A304"/>
  <c r="A300"/>
  <c r="A296"/>
  <c r="A292"/>
  <c r="A288"/>
  <c r="A284"/>
  <c r="A280"/>
  <c r="A276"/>
  <c r="A272"/>
  <c r="A268"/>
  <c r="A264"/>
  <c r="A260"/>
  <c r="A256"/>
  <c r="A252"/>
  <c r="A248"/>
  <c r="A244"/>
  <c r="A240"/>
  <c r="A236"/>
  <c r="A232"/>
  <c r="A228"/>
  <c r="A224"/>
  <c r="A220"/>
  <c r="A692"/>
  <c r="A688"/>
  <c r="A684"/>
  <c r="A680"/>
  <c r="A676"/>
  <c r="A672"/>
  <c r="A668"/>
  <c r="A664"/>
  <c r="A660"/>
  <c r="A656"/>
  <c r="A652"/>
  <c r="A648"/>
  <c r="A644"/>
  <c r="A640"/>
  <c r="A636"/>
  <c r="A632"/>
  <c r="A628"/>
  <c r="A624"/>
  <c r="A620"/>
  <c r="A616"/>
  <c r="A612"/>
  <c r="A608"/>
  <c r="A595"/>
  <c r="A591"/>
  <c r="A587"/>
  <c r="A583"/>
  <c r="A579"/>
  <c r="A575"/>
  <c r="A571"/>
  <c r="A567"/>
  <c r="A563"/>
  <c r="A559"/>
  <c r="A555"/>
  <c r="A551"/>
  <c r="A547"/>
  <c r="A543"/>
  <c r="A539"/>
  <c r="A535"/>
  <c r="A531"/>
  <c r="A527"/>
  <c r="A523"/>
  <c r="A519"/>
  <c r="A515"/>
  <c r="A511"/>
  <c r="A498"/>
  <c r="A494"/>
  <c r="A490"/>
  <c r="A486"/>
  <c r="A482"/>
  <c r="A478"/>
  <c r="A474"/>
  <c r="A470"/>
  <c r="A466"/>
  <c r="A462"/>
  <c r="A458"/>
  <c r="A454"/>
  <c r="A450"/>
  <c r="A446"/>
  <c r="A442"/>
  <c r="A438"/>
  <c r="A434"/>
  <c r="A430"/>
  <c r="A426"/>
  <c r="A422"/>
  <c r="A418"/>
  <c r="A414"/>
  <c r="A349"/>
  <c r="A345"/>
  <c r="A341"/>
  <c r="A337"/>
  <c r="A333"/>
  <c r="A329"/>
  <c r="A325"/>
  <c r="A321"/>
  <c r="A317"/>
  <c r="A253"/>
  <c r="A249"/>
  <c r="A245"/>
  <c r="A241"/>
  <c r="A237"/>
  <c r="A233"/>
  <c r="A229"/>
  <c r="A225"/>
  <c r="A221"/>
  <c r="A641"/>
  <c r="A637"/>
  <c r="A633"/>
  <c r="A629"/>
  <c r="A625"/>
  <c r="A621"/>
  <c r="A617"/>
  <c r="A613"/>
  <c r="A609"/>
  <c r="A605"/>
  <c r="A544"/>
  <c r="A540"/>
  <c r="A536"/>
  <c r="A532"/>
  <c r="A528"/>
  <c r="A524"/>
  <c r="A520"/>
  <c r="A516"/>
  <c r="A512"/>
  <c r="A508"/>
  <c r="A499"/>
  <c r="A495"/>
  <c r="A491"/>
  <c r="A487"/>
  <c r="A447"/>
  <c r="A443"/>
  <c r="A439"/>
  <c r="A435"/>
  <c r="A431"/>
  <c r="A427"/>
  <c r="A423"/>
  <c r="A419"/>
  <c r="A415"/>
  <c r="A411"/>
  <c r="N113"/>
  <c r="N112"/>
  <c r="B112"/>
  <c r="E99"/>
  <c r="D112"/>
  <c r="I99"/>
  <c r="Q67" a="1"/>
  <c r="Q67" s="1"/>
  <c r="G172"/>
  <c r="G179"/>
  <c r="Q74" a="1"/>
  <c r="Q74" s="1"/>
  <c r="G183"/>
  <c r="Q78" a="1"/>
  <c r="Q78" s="1"/>
  <c r="G187"/>
  <c r="Q82" a="1"/>
  <c r="Q82" s="1"/>
  <c r="G202"/>
  <c r="Q97" a="1"/>
  <c r="Q97" s="1"/>
  <c r="G116"/>
  <c r="G118"/>
  <c r="G128"/>
  <c r="G136"/>
  <c r="G137"/>
  <c r="G144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68"/>
  <c r="G203"/>
  <c r="B166"/>
  <c r="R61"/>
  <c r="B168"/>
  <c r="R63"/>
  <c r="Q68" a="1"/>
  <c r="Q68" s="1"/>
  <c r="G173"/>
  <c r="B176"/>
  <c r="R71"/>
  <c r="B178"/>
  <c r="R73"/>
  <c r="G182"/>
  <c r="Q77" a="1"/>
  <c r="Q77" s="1"/>
  <c r="G186"/>
  <c r="Q81" a="1"/>
  <c r="Q81" s="1"/>
  <c r="G190"/>
  <c r="Q85" a="1"/>
  <c r="Q85" s="1"/>
  <c r="G191"/>
  <c r="Q86" a="1"/>
  <c r="Q86" s="1"/>
  <c r="G192"/>
  <c r="Q87" a="1"/>
  <c r="Q87" s="1"/>
  <c r="G193"/>
  <c r="Q88" a="1"/>
  <c r="Q88" s="1"/>
  <c r="Q89" a="1"/>
  <c r="Q89" s="1"/>
  <c r="G195"/>
  <c r="Q90" a="1"/>
  <c r="Q90" s="1"/>
  <c r="G196"/>
  <c r="Q91" a="1"/>
  <c r="Q91" s="1"/>
  <c r="G197"/>
  <c r="Q92" a="1"/>
  <c r="Q92" s="1"/>
  <c r="G198"/>
  <c r="Q93" a="1"/>
  <c r="Q93" s="1"/>
  <c r="R65"/>
  <c r="R69"/>
  <c r="C113"/>
  <c r="G99"/>
  <c r="C117"/>
  <c r="G117" s="1"/>
  <c r="C115"/>
  <c r="Q10" s="1" a="1"/>
  <c r="Q10" s="1"/>
  <c r="F112"/>
  <c r="M99"/>
  <c r="B164"/>
  <c r="R59"/>
  <c r="Q65" a="1"/>
  <c r="Q65" s="1"/>
  <c r="G170"/>
  <c r="Q69" a="1"/>
  <c r="Q69" s="1"/>
  <c r="G174"/>
  <c r="G181"/>
  <c r="Q76" a="1"/>
  <c r="Q76" s="1"/>
  <c r="G185"/>
  <c r="Q80" a="1"/>
  <c r="Q80" s="1"/>
  <c r="G189"/>
  <c r="Q84" a="1"/>
  <c r="Q84" s="1"/>
  <c r="Q94" a="1"/>
  <c r="Q94" s="1"/>
  <c r="G199"/>
  <c r="Q98" a="1"/>
  <c r="Q98" s="1"/>
  <c r="Q9" a="1"/>
  <c r="Q9" s="1"/>
  <c r="G114" s="1"/>
  <c r="Q12" a="1"/>
  <c r="Q12" s="1"/>
  <c r="G120"/>
  <c r="G121"/>
  <c r="G124"/>
  <c r="G132"/>
  <c r="G135"/>
  <c r="Q32" a="1"/>
  <c r="Q32" s="1"/>
  <c r="G138"/>
  <c r="G141"/>
  <c r="G142"/>
  <c r="G146"/>
  <c r="Q45" a="1"/>
  <c r="Q45" s="1"/>
  <c r="Q47" a="1"/>
  <c r="Q47" s="1"/>
  <c r="Q49" a="1"/>
  <c r="Q49" s="1"/>
  <c r="Q51" a="1"/>
  <c r="Q51" s="1"/>
  <c r="Q52" a="1"/>
  <c r="Q52" s="1"/>
  <c r="Q54" a="1"/>
  <c r="Q54" s="1"/>
  <c r="Q56" a="1"/>
  <c r="Q56" s="1"/>
  <c r="G162"/>
  <c r="Q57" a="1"/>
  <c r="Q57" s="1"/>
  <c r="Q58" a="1"/>
  <c r="Q58" s="1"/>
  <c r="R66"/>
  <c r="E112"/>
  <c r="K99"/>
  <c r="B165"/>
  <c r="R60"/>
  <c r="B167"/>
  <c r="R62"/>
  <c r="B169"/>
  <c r="R64"/>
  <c r="Q66" a="1"/>
  <c r="Q66" s="1"/>
  <c r="G171"/>
  <c r="B175"/>
  <c r="R70"/>
  <c r="B177"/>
  <c r="R72"/>
  <c r="G180"/>
  <c r="Q75" a="1"/>
  <c r="Q75" s="1"/>
  <c r="G184"/>
  <c r="Q79" a="1"/>
  <c r="Q79" s="1"/>
  <c r="G188"/>
  <c r="Q83" a="1"/>
  <c r="Q83" s="1"/>
  <c r="G201"/>
  <c r="Q96" a="1"/>
  <c r="Q96" s="1"/>
  <c r="I100"/>
  <c r="I102" s="1"/>
  <c r="K100"/>
  <c r="K102" s="1"/>
  <c r="Q8" a="1"/>
  <c r="Q8" s="1"/>
  <c r="Q11" a="1"/>
  <c r="Q11" s="1"/>
  <c r="Q13" a="1"/>
  <c r="Q13" s="1"/>
  <c r="G119"/>
  <c r="Q16" a="1"/>
  <c r="Q16" s="1"/>
  <c r="G122"/>
  <c r="G123"/>
  <c r="Q19" a="1"/>
  <c r="Q19" s="1"/>
  <c r="G125"/>
  <c r="G126"/>
  <c r="G127"/>
  <c r="Q23" a="1"/>
  <c r="Q23" s="1"/>
  <c r="G129"/>
  <c r="G130"/>
  <c r="G131"/>
  <c r="Q27" a="1"/>
  <c r="Q27" s="1"/>
  <c r="G133"/>
  <c r="G134"/>
  <c r="Q31" a="1"/>
  <c r="Q31" s="1"/>
  <c r="Q33" a="1"/>
  <c r="Q33" s="1"/>
  <c r="G139"/>
  <c r="G140"/>
  <c r="Q36" a="1"/>
  <c r="Q36" s="1"/>
  <c r="G143"/>
  <c r="Q39" a="1"/>
  <c r="Q39" s="1"/>
  <c r="G145"/>
  <c r="Q41" a="1"/>
  <c r="Q41" s="1"/>
  <c r="G147"/>
  <c r="Q44" a="1"/>
  <c r="Q44" s="1"/>
  <c r="Q46" a="1"/>
  <c r="Q46" s="1"/>
  <c r="Q48" a="1"/>
  <c r="Q48" s="1"/>
  <c r="Q50" a="1"/>
  <c r="Q50" s="1"/>
  <c r="Q53" a="1"/>
  <c r="Q53" s="1"/>
  <c r="Q55" a="1"/>
  <c r="Q55" s="1"/>
  <c r="R67"/>
  <c r="XFD69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7"/>
  <c r="R98"/>
  <c r="R94"/>
  <c r="D200"/>
  <c r="Q95" s="1" a="1"/>
  <c r="Q95" s="1"/>
  <c r="R96"/>
  <c r="B423" l="1"/>
  <c r="D423"/>
  <c r="C423"/>
  <c r="B439"/>
  <c r="C439"/>
  <c r="D439"/>
  <c r="B491"/>
  <c r="C491"/>
  <c r="D491"/>
  <c r="B512"/>
  <c r="D512"/>
  <c r="C512"/>
  <c r="B528"/>
  <c r="D528"/>
  <c r="C528"/>
  <c r="B544"/>
  <c r="D544"/>
  <c r="C544"/>
  <c r="B617"/>
  <c r="D617"/>
  <c r="C617"/>
  <c r="B633"/>
  <c r="D633"/>
  <c r="C633"/>
  <c r="C225"/>
  <c r="B225"/>
  <c r="D225"/>
  <c r="C241"/>
  <c r="B241"/>
  <c r="D241"/>
  <c r="D317"/>
  <c r="B317"/>
  <c r="C317"/>
  <c r="D333"/>
  <c r="B333"/>
  <c r="C333"/>
  <c r="D349"/>
  <c r="B349"/>
  <c r="C349"/>
  <c r="D426"/>
  <c r="B426"/>
  <c r="C426"/>
  <c r="D442"/>
  <c r="B442"/>
  <c r="C442"/>
  <c r="D458"/>
  <c r="B458"/>
  <c r="C458"/>
  <c r="D474"/>
  <c r="B474"/>
  <c r="C474"/>
  <c r="D490"/>
  <c r="B490"/>
  <c r="C490"/>
  <c r="D515"/>
  <c r="C515"/>
  <c r="B515"/>
  <c r="D531"/>
  <c r="C531"/>
  <c r="B531"/>
  <c r="D547"/>
  <c r="C547"/>
  <c r="B547"/>
  <c r="D563"/>
  <c r="C563"/>
  <c r="B563"/>
  <c r="D579"/>
  <c r="C579"/>
  <c r="B579"/>
  <c r="D595"/>
  <c r="C595"/>
  <c r="B595"/>
  <c r="D620"/>
  <c r="C620"/>
  <c r="B620"/>
  <c r="D636"/>
  <c r="C636"/>
  <c r="B636"/>
  <c r="D652"/>
  <c r="C652"/>
  <c r="B652"/>
  <c r="D668"/>
  <c r="C668"/>
  <c r="B668"/>
  <c r="D684"/>
  <c r="C684"/>
  <c r="B684"/>
  <c r="D224"/>
  <c r="C224"/>
  <c r="B224"/>
  <c r="D240"/>
  <c r="C240"/>
  <c r="B240"/>
  <c r="D256"/>
  <c r="C256"/>
  <c r="B256"/>
  <c r="D272"/>
  <c r="C272"/>
  <c r="B272"/>
  <c r="D288"/>
  <c r="C288"/>
  <c r="B288"/>
  <c r="C304"/>
  <c r="B304"/>
  <c r="D304"/>
  <c r="D328"/>
  <c r="C328"/>
  <c r="B328"/>
  <c r="D344"/>
  <c r="C344"/>
  <c r="B344"/>
  <c r="D421"/>
  <c r="C421"/>
  <c r="B421"/>
  <c r="D437"/>
  <c r="C437"/>
  <c r="B437"/>
  <c r="D453"/>
  <c r="C453"/>
  <c r="B453"/>
  <c r="D469"/>
  <c r="C469"/>
  <c r="B469"/>
  <c r="D485"/>
  <c r="C485"/>
  <c r="B485"/>
  <c r="D510"/>
  <c r="C510"/>
  <c r="B510"/>
  <c r="D526"/>
  <c r="C526"/>
  <c r="B526"/>
  <c r="D542"/>
  <c r="C542"/>
  <c r="B542"/>
  <c r="D558"/>
  <c r="C558"/>
  <c r="B558"/>
  <c r="D574"/>
  <c r="C574"/>
  <c r="B574"/>
  <c r="D590"/>
  <c r="C590"/>
  <c r="B590"/>
  <c r="D615"/>
  <c r="C615"/>
  <c r="B615"/>
  <c r="D631"/>
  <c r="C631"/>
  <c r="B631"/>
  <c r="D647"/>
  <c r="C647"/>
  <c r="B647"/>
  <c r="D663"/>
  <c r="C663"/>
  <c r="B663"/>
  <c r="D679"/>
  <c r="C679"/>
  <c r="B679"/>
  <c r="C219"/>
  <c r="D219"/>
  <c r="B219"/>
  <c r="C235"/>
  <c r="D235"/>
  <c r="B235"/>
  <c r="C251"/>
  <c r="D251"/>
  <c r="B251"/>
  <c r="D267"/>
  <c r="C267"/>
  <c r="B267"/>
  <c r="D283"/>
  <c r="C283"/>
  <c r="B283"/>
  <c r="B299"/>
  <c r="D299"/>
  <c r="C299"/>
  <c r="C323"/>
  <c r="B323"/>
  <c r="D323"/>
  <c r="C339"/>
  <c r="B339"/>
  <c r="D339"/>
  <c r="C416"/>
  <c r="B416"/>
  <c r="D416"/>
  <c r="C432"/>
  <c r="B432"/>
  <c r="D432"/>
  <c r="C448"/>
  <c r="B448"/>
  <c r="D448"/>
  <c r="C464"/>
  <c r="B464"/>
  <c r="D464"/>
  <c r="C480"/>
  <c r="B480"/>
  <c r="D480"/>
  <c r="C496"/>
  <c r="B496"/>
  <c r="D496"/>
  <c r="C517"/>
  <c r="B517"/>
  <c r="D517"/>
  <c r="C533"/>
  <c r="B533"/>
  <c r="D533"/>
  <c r="C549"/>
  <c r="B549"/>
  <c r="D549"/>
  <c r="C565"/>
  <c r="B565"/>
  <c r="D565"/>
  <c r="C581"/>
  <c r="B581"/>
  <c r="D581"/>
  <c r="C597"/>
  <c r="B597"/>
  <c r="D597"/>
  <c r="C618"/>
  <c r="B618"/>
  <c r="D618"/>
  <c r="C634"/>
  <c r="B634"/>
  <c r="D634"/>
  <c r="C650"/>
  <c r="B650"/>
  <c r="D650"/>
  <c r="C666"/>
  <c r="B666"/>
  <c r="D666"/>
  <c r="C682"/>
  <c r="B682"/>
  <c r="D682"/>
  <c r="B222"/>
  <c r="D222"/>
  <c r="C222"/>
  <c r="D238"/>
  <c r="B238"/>
  <c r="C238"/>
  <c r="B254"/>
  <c r="C254"/>
  <c r="D254"/>
  <c r="B270"/>
  <c r="C270"/>
  <c r="D270"/>
  <c r="B286"/>
  <c r="C286"/>
  <c r="D286"/>
  <c r="D302"/>
  <c r="C302"/>
  <c r="B302"/>
  <c r="B576"/>
  <c r="D576"/>
  <c r="C576"/>
  <c r="B677"/>
  <c r="D677"/>
  <c r="C677"/>
  <c r="B293"/>
  <c r="D293"/>
  <c r="C293"/>
  <c r="B572"/>
  <c r="D572"/>
  <c r="C572"/>
  <c r="B689"/>
  <c r="D689"/>
  <c r="C689"/>
  <c r="B305"/>
  <c r="D305"/>
  <c r="C305"/>
  <c r="B552"/>
  <c r="D552"/>
  <c r="C552"/>
  <c r="B669"/>
  <c r="D669"/>
  <c r="C669"/>
  <c r="C301"/>
  <c r="B301"/>
  <c r="D301"/>
  <c r="B564"/>
  <c r="D564"/>
  <c r="C564"/>
  <c r="B665"/>
  <c r="D665"/>
  <c r="C665"/>
  <c r="D297"/>
  <c r="C297"/>
  <c r="B297"/>
  <c r="B419"/>
  <c r="D419"/>
  <c r="C419"/>
  <c r="B435"/>
  <c r="C435"/>
  <c r="D435"/>
  <c r="B487"/>
  <c r="C487"/>
  <c r="D487"/>
  <c r="B524"/>
  <c r="D524"/>
  <c r="C524"/>
  <c r="B540"/>
  <c r="D540"/>
  <c r="C540"/>
  <c r="B613"/>
  <c r="D613"/>
  <c r="C613"/>
  <c r="B629"/>
  <c r="D629"/>
  <c r="C629"/>
  <c r="C221"/>
  <c r="D221"/>
  <c r="B221"/>
  <c r="B237"/>
  <c r="D237"/>
  <c r="C237"/>
  <c r="B253"/>
  <c r="D253"/>
  <c r="C253"/>
  <c r="D329"/>
  <c r="B329"/>
  <c r="C329"/>
  <c r="D345"/>
  <c r="B345"/>
  <c r="C345"/>
  <c r="D422"/>
  <c r="C422"/>
  <c r="B422"/>
  <c r="D438"/>
  <c r="B438"/>
  <c r="C438"/>
  <c r="D454"/>
  <c r="B454"/>
  <c r="C454"/>
  <c r="D470"/>
  <c r="B470"/>
  <c r="C470"/>
  <c r="D486"/>
  <c r="B486"/>
  <c r="C486"/>
  <c r="D511"/>
  <c r="C511"/>
  <c r="B511"/>
  <c r="D527"/>
  <c r="C527"/>
  <c r="B527"/>
  <c r="D543"/>
  <c r="C543"/>
  <c r="B543"/>
  <c r="D559"/>
  <c r="C559"/>
  <c r="B559"/>
  <c r="D575"/>
  <c r="C575"/>
  <c r="B575"/>
  <c r="D591"/>
  <c r="C591"/>
  <c r="B591"/>
  <c r="D616"/>
  <c r="C616"/>
  <c r="B616"/>
  <c r="D632"/>
  <c r="C632"/>
  <c r="B632"/>
  <c r="D648"/>
  <c r="C648"/>
  <c r="B648"/>
  <c r="D664"/>
  <c r="C664"/>
  <c r="B664"/>
  <c r="D680"/>
  <c r="C680"/>
  <c r="B680"/>
  <c r="D220"/>
  <c r="C220"/>
  <c r="B220"/>
  <c r="D236"/>
  <c r="C236"/>
  <c r="B236"/>
  <c r="D252"/>
  <c r="C252"/>
  <c r="B252"/>
  <c r="D268"/>
  <c r="C268"/>
  <c r="B268"/>
  <c r="D284"/>
  <c r="C284"/>
  <c r="B284"/>
  <c r="C300"/>
  <c r="B300"/>
  <c r="D300"/>
  <c r="D324"/>
  <c r="C324"/>
  <c r="B324"/>
  <c r="D340"/>
  <c r="C340"/>
  <c r="B340"/>
  <c r="D417"/>
  <c r="C417"/>
  <c r="B417"/>
  <c r="D433"/>
  <c r="C433"/>
  <c r="B433"/>
  <c r="D449"/>
  <c r="C449"/>
  <c r="B449"/>
  <c r="D465"/>
  <c r="C465"/>
  <c r="B465"/>
  <c r="D481"/>
  <c r="C481"/>
  <c r="B481"/>
  <c r="D497"/>
  <c r="C497"/>
  <c r="B497"/>
  <c r="D522"/>
  <c r="C522"/>
  <c r="B522"/>
  <c r="D538"/>
  <c r="C538"/>
  <c r="B538"/>
  <c r="D554"/>
  <c r="C554"/>
  <c r="B554"/>
  <c r="D570"/>
  <c r="C570"/>
  <c r="B570"/>
  <c r="D586"/>
  <c r="C586"/>
  <c r="B586"/>
  <c r="D611"/>
  <c r="C611"/>
  <c r="B611"/>
  <c r="D627"/>
  <c r="C627"/>
  <c r="B627"/>
  <c r="D643"/>
  <c r="C643"/>
  <c r="B643"/>
  <c r="D659"/>
  <c r="C659"/>
  <c r="B659"/>
  <c r="D675"/>
  <c r="C675"/>
  <c r="B675"/>
  <c r="D691"/>
  <c r="C691"/>
  <c r="B691"/>
  <c r="D231"/>
  <c r="C231"/>
  <c r="B231"/>
  <c r="D247"/>
  <c r="C247"/>
  <c r="B247"/>
  <c r="C263"/>
  <c r="B263"/>
  <c r="D263"/>
  <c r="B279"/>
  <c r="D279"/>
  <c r="C279"/>
  <c r="D295"/>
  <c r="C295"/>
  <c r="B295"/>
  <c r="C319"/>
  <c r="B319"/>
  <c r="D319"/>
  <c r="C335"/>
  <c r="B335"/>
  <c r="D335"/>
  <c r="C428"/>
  <c r="B428"/>
  <c r="D428"/>
  <c r="C444"/>
  <c r="B444"/>
  <c r="D444"/>
  <c r="C460"/>
  <c r="B460"/>
  <c r="D460"/>
  <c r="C476"/>
  <c r="B476"/>
  <c r="D476"/>
  <c r="C492"/>
  <c r="B492"/>
  <c r="D492"/>
  <c r="C513"/>
  <c r="B513"/>
  <c r="D513"/>
  <c r="C529"/>
  <c r="B529"/>
  <c r="D529"/>
  <c r="C545"/>
  <c r="B545"/>
  <c r="D545"/>
  <c r="C561"/>
  <c r="B561"/>
  <c r="D561"/>
  <c r="C577"/>
  <c r="B577"/>
  <c r="D577"/>
  <c r="C593"/>
  <c r="B593"/>
  <c r="D593"/>
  <c r="C614"/>
  <c r="B614"/>
  <c r="D614"/>
  <c r="C630"/>
  <c r="B630"/>
  <c r="D630"/>
  <c r="C646"/>
  <c r="B646"/>
  <c r="D646"/>
  <c r="C662"/>
  <c r="B662"/>
  <c r="D662"/>
  <c r="C678"/>
  <c r="B678"/>
  <c r="D678"/>
  <c r="C694"/>
  <c r="B694"/>
  <c r="D694"/>
  <c r="D234"/>
  <c r="C234"/>
  <c r="B234"/>
  <c r="D250"/>
  <c r="B250"/>
  <c r="C250"/>
  <c r="D266"/>
  <c r="C266"/>
  <c r="B266"/>
  <c r="D282"/>
  <c r="B282"/>
  <c r="C282"/>
  <c r="D298"/>
  <c r="B298"/>
  <c r="C298"/>
  <c r="B560"/>
  <c r="D560"/>
  <c r="C560"/>
  <c r="B661"/>
  <c r="D661"/>
  <c r="C661"/>
  <c r="D277"/>
  <c r="C277"/>
  <c r="B277"/>
  <c r="B556"/>
  <c r="D556"/>
  <c r="C556"/>
  <c r="B673"/>
  <c r="D673"/>
  <c r="C673"/>
  <c r="B289"/>
  <c r="D289"/>
  <c r="C289"/>
  <c r="B483"/>
  <c r="C483"/>
  <c r="D483"/>
  <c r="B653"/>
  <c r="D653"/>
  <c r="C653"/>
  <c r="D285"/>
  <c r="C285"/>
  <c r="B285"/>
  <c r="B548"/>
  <c r="D548"/>
  <c r="C548"/>
  <c r="B649"/>
  <c r="D649"/>
  <c r="C649"/>
  <c r="C281"/>
  <c r="B281"/>
  <c r="D281"/>
  <c r="B415"/>
  <c r="D415"/>
  <c r="C415"/>
  <c r="B431"/>
  <c r="C431"/>
  <c r="D431"/>
  <c r="B447"/>
  <c r="C447"/>
  <c r="D447"/>
  <c r="B499"/>
  <c r="C499"/>
  <c r="D499"/>
  <c r="B520"/>
  <c r="D520"/>
  <c r="C520"/>
  <c r="B536"/>
  <c r="D536"/>
  <c r="C536"/>
  <c r="B609"/>
  <c r="D609"/>
  <c r="C609"/>
  <c r="B625"/>
  <c r="D625"/>
  <c r="C625"/>
  <c r="B641"/>
  <c r="D641"/>
  <c r="C641"/>
  <c r="D233"/>
  <c r="C233"/>
  <c r="B233"/>
  <c r="B249"/>
  <c r="D249"/>
  <c r="C249"/>
  <c r="D325"/>
  <c r="B325"/>
  <c r="C325"/>
  <c r="D341"/>
  <c r="B341"/>
  <c r="C341"/>
  <c r="D418"/>
  <c r="C418"/>
  <c r="B418"/>
  <c r="D434"/>
  <c r="B434"/>
  <c r="C434"/>
  <c r="D450"/>
  <c r="B450"/>
  <c r="C450"/>
  <c r="D466"/>
  <c r="B466"/>
  <c r="C466"/>
  <c r="D482"/>
  <c r="B482"/>
  <c r="C482"/>
  <c r="D498"/>
  <c r="B498"/>
  <c r="C498"/>
  <c r="D523"/>
  <c r="C523"/>
  <c r="B523"/>
  <c r="D539"/>
  <c r="C539"/>
  <c r="B539"/>
  <c r="D555"/>
  <c r="C555"/>
  <c r="B555"/>
  <c r="D571"/>
  <c r="C571"/>
  <c r="B571"/>
  <c r="D587"/>
  <c r="C587"/>
  <c r="B587"/>
  <c r="D612"/>
  <c r="C612"/>
  <c r="B612"/>
  <c r="D628"/>
  <c r="C628"/>
  <c r="B628"/>
  <c r="D644"/>
  <c r="C644"/>
  <c r="B644"/>
  <c r="D660"/>
  <c r="C660"/>
  <c r="B660"/>
  <c r="D676"/>
  <c r="C676"/>
  <c r="B676"/>
  <c r="D692"/>
  <c r="C692"/>
  <c r="B692"/>
  <c r="D232"/>
  <c r="C232"/>
  <c r="B232"/>
  <c r="C248"/>
  <c r="B248"/>
  <c r="D248"/>
  <c r="C264"/>
  <c r="B264"/>
  <c r="D264"/>
  <c r="C280"/>
  <c r="B280"/>
  <c r="D280"/>
  <c r="C296"/>
  <c r="B296"/>
  <c r="D296"/>
  <c r="D320"/>
  <c r="C320"/>
  <c r="B320"/>
  <c r="D336"/>
  <c r="C336"/>
  <c r="B336"/>
  <c r="D413"/>
  <c r="C413"/>
  <c r="B413"/>
  <c r="D429"/>
  <c r="C429"/>
  <c r="B429"/>
  <c r="D445"/>
  <c r="C445"/>
  <c r="B445"/>
  <c r="D461"/>
  <c r="C461"/>
  <c r="B461"/>
  <c r="D477"/>
  <c r="C477"/>
  <c r="B477"/>
  <c r="D493"/>
  <c r="C493"/>
  <c r="B493"/>
  <c r="D518"/>
  <c r="C518"/>
  <c r="B518"/>
  <c r="D534"/>
  <c r="C534"/>
  <c r="B534"/>
  <c r="D550"/>
  <c r="C550"/>
  <c r="B550"/>
  <c r="D566"/>
  <c r="C566"/>
  <c r="B566"/>
  <c r="D582"/>
  <c r="C582"/>
  <c r="B582"/>
  <c r="D607"/>
  <c r="C607"/>
  <c r="B607"/>
  <c r="D623"/>
  <c r="C623"/>
  <c r="B623"/>
  <c r="D639"/>
  <c r="C639"/>
  <c r="B639"/>
  <c r="D655"/>
  <c r="C655"/>
  <c r="B655"/>
  <c r="D671"/>
  <c r="C671"/>
  <c r="B671"/>
  <c r="D687"/>
  <c r="C687"/>
  <c r="B687"/>
  <c r="B227"/>
  <c r="D227"/>
  <c r="C227"/>
  <c r="B243"/>
  <c r="D243"/>
  <c r="C243"/>
  <c r="D259"/>
  <c r="C259"/>
  <c r="B259"/>
  <c r="C275"/>
  <c r="D275"/>
  <c r="B275"/>
  <c r="C291"/>
  <c r="B291"/>
  <c r="D291"/>
  <c r="C331"/>
  <c r="B331"/>
  <c r="D331"/>
  <c r="C347"/>
  <c r="B347"/>
  <c r="D347"/>
  <c r="C424"/>
  <c r="B424"/>
  <c r="D424"/>
  <c r="C440"/>
  <c r="B440"/>
  <c r="D440"/>
  <c r="C456"/>
  <c r="B456"/>
  <c r="D456"/>
  <c r="C472"/>
  <c r="B472"/>
  <c r="D472"/>
  <c r="C488"/>
  <c r="B488"/>
  <c r="D488"/>
  <c r="C525"/>
  <c r="B525"/>
  <c r="D525"/>
  <c r="C541"/>
  <c r="B541"/>
  <c r="D541"/>
  <c r="C557"/>
  <c r="B557"/>
  <c r="D557"/>
  <c r="C573"/>
  <c r="B573"/>
  <c r="D573"/>
  <c r="C589"/>
  <c r="B589"/>
  <c r="D589"/>
  <c r="C610"/>
  <c r="B610"/>
  <c r="D610"/>
  <c r="C626"/>
  <c r="B626"/>
  <c r="D626"/>
  <c r="C642"/>
  <c r="B642"/>
  <c r="D642"/>
  <c r="C658"/>
  <c r="B658"/>
  <c r="D658"/>
  <c r="C674"/>
  <c r="B674"/>
  <c r="D674"/>
  <c r="C690"/>
  <c r="B690"/>
  <c r="D690"/>
  <c r="B230"/>
  <c r="C230"/>
  <c r="D230"/>
  <c r="C246"/>
  <c r="D246"/>
  <c r="B246"/>
  <c r="D262"/>
  <c r="B262"/>
  <c r="C262"/>
  <c r="D278"/>
  <c r="C278"/>
  <c r="B278"/>
  <c r="D294"/>
  <c r="B294"/>
  <c r="C294"/>
  <c r="B475"/>
  <c r="C475"/>
  <c r="D475"/>
  <c r="B645"/>
  <c r="D645"/>
  <c r="C645"/>
  <c r="B261"/>
  <c r="D261"/>
  <c r="C261"/>
  <c r="B471"/>
  <c r="C471"/>
  <c r="D471"/>
  <c r="B657"/>
  <c r="D657"/>
  <c r="C657"/>
  <c r="B273"/>
  <c r="D273"/>
  <c r="C273"/>
  <c r="B467"/>
  <c r="C467"/>
  <c r="D467"/>
  <c r="B584"/>
  <c r="D584"/>
  <c r="C584"/>
  <c r="D269"/>
  <c r="C269"/>
  <c r="B269"/>
  <c r="B479"/>
  <c r="C479"/>
  <c r="D479"/>
  <c r="B596"/>
  <c r="D596"/>
  <c r="C596"/>
  <c r="B265"/>
  <c r="D265"/>
  <c r="C265"/>
  <c r="B427"/>
  <c r="C427"/>
  <c r="D427"/>
  <c r="B443"/>
  <c r="C443"/>
  <c r="D443"/>
  <c r="B495"/>
  <c r="C495"/>
  <c r="D495"/>
  <c r="B516"/>
  <c r="D516"/>
  <c r="C516"/>
  <c r="B532"/>
  <c r="D532"/>
  <c r="C532"/>
  <c r="B621"/>
  <c r="D621"/>
  <c r="C621"/>
  <c r="B637"/>
  <c r="D637"/>
  <c r="C637"/>
  <c r="C229"/>
  <c r="B229"/>
  <c r="D229"/>
  <c r="D245"/>
  <c r="C245"/>
  <c r="B245"/>
  <c r="D321"/>
  <c r="B321"/>
  <c r="C321"/>
  <c r="D337"/>
  <c r="B337"/>
  <c r="C337"/>
  <c r="D414"/>
  <c r="C414"/>
  <c r="B414"/>
  <c r="D430"/>
  <c r="B430"/>
  <c r="C430"/>
  <c r="D446"/>
  <c r="B446"/>
  <c r="C446"/>
  <c r="D462"/>
  <c r="B462"/>
  <c r="C462"/>
  <c r="D478"/>
  <c r="B478"/>
  <c r="C478"/>
  <c r="D494"/>
  <c r="B494"/>
  <c r="C494"/>
  <c r="D519"/>
  <c r="C519"/>
  <c r="B519"/>
  <c r="D535"/>
  <c r="C535"/>
  <c r="B535"/>
  <c r="D551"/>
  <c r="C551"/>
  <c r="B551"/>
  <c r="D567"/>
  <c r="C567"/>
  <c r="B567"/>
  <c r="D583"/>
  <c r="C583"/>
  <c r="B583"/>
  <c r="D608"/>
  <c r="C608"/>
  <c r="B608"/>
  <c r="D624"/>
  <c r="C624"/>
  <c r="B624"/>
  <c r="D640"/>
  <c r="C640"/>
  <c r="B640"/>
  <c r="D656"/>
  <c r="C656"/>
  <c r="B656"/>
  <c r="D672"/>
  <c r="C672"/>
  <c r="B672"/>
  <c r="D688"/>
  <c r="C688"/>
  <c r="B688"/>
  <c r="D228"/>
  <c r="C228"/>
  <c r="B228"/>
  <c r="D244"/>
  <c r="C244"/>
  <c r="B244"/>
  <c r="C260"/>
  <c r="B260"/>
  <c r="D260"/>
  <c r="D276"/>
  <c r="C276"/>
  <c r="B276"/>
  <c r="D292"/>
  <c r="C292"/>
  <c r="B292"/>
  <c r="D316"/>
  <c r="C316"/>
  <c r="B316"/>
  <c r="D332"/>
  <c r="C332"/>
  <c r="B332"/>
  <c r="D348"/>
  <c r="C348"/>
  <c r="B348"/>
  <c r="D425"/>
  <c r="C425"/>
  <c r="B425"/>
  <c r="D441"/>
  <c r="C441"/>
  <c r="B441"/>
  <c r="D457"/>
  <c r="C457"/>
  <c r="B457"/>
  <c r="D473"/>
  <c r="C473"/>
  <c r="B473"/>
  <c r="D489"/>
  <c r="C489"/>
  <c r="B489"/>
  <c r="D514"/>
  <c r="C514"/>
  <c r="B514"/>
  <c r="D530"/>
  <c r="C530"/>
  <c r="B530"/>
  <c r="D546"/>
  <c r="C546"/>
  <c r="B546"/>
  <c r="D562"/>
  <c r="C562"/>
  <c r="B562"/>
  <c r="D578"/>
  <c r="C578"/>
  <c r="B578"/>
  <c r="D594"/>
  <c r="C594"/>
  <c r="B594"/>
  <c r="D619"/>
  <c r="C619"/>
  <c r="B619"/>
  <c r="D635"/>
  <c r="C635"/>
  <c r="B635"/>
  <c r="D651"/>
  <c r="C651"/>
  <c r="B651"/>
  <c r="D667"/>
  <c r="C667"/>
  <c r="B667"/>
  <c r="D683"/>
  <c r="C683"/>
  <c r="B683"/>
  <c r="D223"/>
  <c r="C223"/>
  <c r="B223"/>
  <c r="D239"/>
  <c r="C239"/>
  <c r="B239"/>
  <c r="B255"/>
  <c r="D255"/>
  <c r="C255"/>
  <c r="C271"/>
  <c r="B271"/>
  <c r="D271"/>
  <c r="D287"/>
  <c r="C287"/>
  <c r="B287"/>
  <c r="D303"/>
  <c r="C303"/>
  <c r="B303"/>
  <c r="C327"/>
  <c r="B327"/>
  <c r="D327"/>
  <c r="C343"/>
  <c r="B343"/>
  <c r="D343"/>
  <c r="C420"/>
  <c r="B420"/>
  <c r="D420"/>
  <c r="C436"/>
  <c r="B436"/>
  <c r="D436"/>
  <c r="C452"/>
  <c r="B452"/>
  <c r="D452"/>
  <c r="C468"/>
  <c r="B468"/>
  <c r="D468"/>
  <c r="C484"/>
  <c r="B484"/>
  <c r="D484"/>
  <c r="C500"/>
  <c r="B500"/>
  <c r="D500"/>
  <c r="C521"/>
  <c r="B521"/>
  <c r="D521"/>
  <c r="C537"/>
  <c r="B537"/>
  <c r="D537"/>
  <c r="C553"/>
  <c r="B553"/>
  <c r="D553"/>
  <c r="C569"/>
  <c r="B569"/>
  <c r="D569"/>
  <c r="C585"/>
  <c r="B585"/>
  <c r="D585"/>
  <c r="C622"/>
  <c r="B622"/>
  <c r="D622"/>
  <c r="C638"/>
  <c r="B638"/>
  <c r="D638"/>
  <c r="C654"/>
  <c r="B654"/>
  <c r="D654"/>
  <c r="C670"/>
  <c r="B670"/>
  <c r="D670"/>
  <c r="C686"/>
  <c r="B686"/>
  <c r="D686"/>
  <c r="D226"/>
  <c r="C226"/>
  <c r="B226"/>
  <c r="B242"/>
  <c r="C242"/>
  <c r="D242"/>
  <c r="D258"/>
  <c r="C258"/>
  <c r="B258"/>
  <c r="B274"/>
  <c r="C274"/>
  <c r="D274"/>
  <c r="C290"/>
  <c r="D290"/>
  <c r="B290"/>
  <c r="D306"/>
  <c r="B306"/>
  <c r="C306"/>
  <c r="B459"/>
  <c r="C459"/>
  <c r="D459"/>
  <c r="B592"/>
  <c r="D592"/>
  <c r="C592"/>
  <c r="B693"/>
  <c r="D693"/>
  <c r="C693"/>
  <c r="B455"/>
  <c r="C455"/>
  <c r="D455"/>
  <c r="B588"/>
  <c r="D588"/>
  <c r="C588"/>
  <c r="C257"/>
  <c r="D257"/>
  <c r="B257"/>
  <c r="B451"/>
  <c r="C451"/>
  <c r="D451"/>
  <c r="B568"/>
  <c r="D568"/>
  <c r="C568"/>
  <c r="B685"/>
  <c r="D685"/>
  <c r="C685"/>
  <c r="B463"/>
  <c r="C463"/>
  <c r="D463"/>
  <c r="B580"/>
  <c r="D580"/>
  <c r="C580"/>
  <c r="B681"/>
  <c r="D681"/>
  <c r="C681"/>
  <c r="T113"/>
  <c r="S113"/>
  <c r="Q113"/>
  <c r="U113"/>
  <c r="S114"/>
  <c r="U114"/>
  <c r="T114"/>
  <c r="T112"/>
  <c r="S112"/>
  <c r="R112"/>
  <c r="Q112"/>
  <c r="U112"/>
  <c r="T115"/>
  <c r="S115"/>
  <c r="R115"/>
  <c r="U115"/>
  <c r="G100"/>
  <c r="G102" s="1"/>
  <c r="G113"/>
  <c r="M100"/>
  <c r="M102" s="1"/>
  <c r="G177"/>
  <c r="Q72" a="1"/>
  <c r="Q72" s="1"/>
  <c r="G167"/>
  <c r="Q62" a="1"/>
  <c r="Q62" s="1"/>
  <c r="G164"/>
  <c r="Q59" a="1"/>
  <c r="Q59" s="1"/>
  <c r="G176"/>
  <c r="Q71" a="1"/>
  <c r="Q71" s="1"/>
  <c r="G168"/>
  <c r="Q63" a="1"/>
  <c r="Q63" s="1"/>
  <c r="G200"/>
  <c r="G115"/>
  <c r="F104"/>
  <c r="Q7" a="1"/>
  <c r="Q7" s="1"/>
  <c r="G112" s="1"/>
  <c r="G175"/>
  <c r="Q70" a="1"/>
  <c r="Q70" s="1"/>
  <c r="G169"/>
  <c r="Q64" a="1"/>
  <c r="Q64" s="1"/>
  <c r="G165"/>
  <c r="Q60" a="1"/>
  <c r="Q60" s="1"/>
  <c r="G178"/>
  <c r="Q73" a="1"/>
  <c r="Q73" s="1"/>
  <c r="G166"/>
  <c r="Q61" a="1"/>
  <c r="Q61" s="1"/>
  <c r="Q99" a="1"/>
  <c r="Q99" s="1"/>
  <c r="R99"/>
  <c r="S110" l="1"/>
  <c r="R113"/>
  <c r="R114" s="1"/>
  <c r="Q114"/>
  <c r="U110"/>
  <c r="T110"/>
  <c r="C604"/>
  <c r="D604"/>
  <c r="B605"/>
  <c r="C605"/>
  <c r="D605"/>
  <c r="B606"/>
  <c r="C606"/>
  <c r="D606"/>
  <c r="D603"/>
  <c r="C603"/>
  <c r="B603"/>
  <c r="B604"/>
  <c r="B507"/>
  <c r="D508"/>
  <c r="B509"/>
  <c r="C509"/>
  <c r="D506"/>
  <c r="C506"/>
  <c r="B506"/>
  <c r="C508"/>
  <c r="C507"/>
  <c r="D507"/>
  <c r="B508"/>
  <c r="D509"/>
  <c r="D409"/>
  <c r="C409"/>
  <c r="B409"/>
  <c r="C411"/>
  <c r="B410"/>
  <c r="D412"/>
  <c r="C410"/>
  <c r="D410"/>
  <c r="B411"/>
  <c r="D411"/>
  <c r="B412"/>
  <c r="C412"/>
  <c r="E100"/>
  <c r="E102" s="1"/>
  <c r="F103" s="1"/>
  <c r="F105" s="1"/>
  <c r="C108"/>
  <c r="D108"/>
  <c r="E108"/>
  <c r="F108"/>
  <c r="B108"/>
  <c r="B314" l="1"/>
  <c r="C315"/>
  <c r="B312"/>
  <c r="C312"/>
  <c r="D313"/>
  <c r="B315"/>
  <c r="D312"/>
  <c r="C313"/>
  <c r="D314"/>
  <c r="D315"/>
  <c r="C314"/>
  <c r="B313"/>
  <c r="Q115"/>
  <c r="R110"/>
  <c r="C218" l="1"/>
  <c r="B217"/>
  <c r="B216"/>
  <c r="C216"/>
  <c r="B215"/>
  <c r="C217"/>
  <c r="D217"/>
  <c r="D218"/>
  <c r="D215"/>
  <c r="C215"/>
  <c r="B218"/>
  <c r="D216"/>
  <c r="Q110"/>
</calcChain>
</file>

<file path=xl/sharedStrings.xml><?xml version="1.0" encoding="utf-8"?>
<sst xmlns="http://schemas.openxmlformats.org/spreadsheetml/2006/main" count="56" uniqueCount="19">
  <si>
    <t>PLANILHA DE COTAÇÃO DE PREÇOS</t>
  </si>
  <si>
    <t>ITEM</t>
  </si>
  <si>
    <t>UNID.</t>
  </si>
  <si>
    <t>VL. UNIT.</t>
  </si>
  <si>
    <t>TOTAL</t>
  </si>
  <si>
    <t> VL. UNIT.</t>
  </si>
  <si>
    <t>Sub-total:</t>
  </si>
  <si>
    <t>Total:</t>
  </si>
  <si>
    <t>QTD</t>
  </si>
  <si>
    <t>MENOR PREÇO</t>
  </si>
  <si>
    <t>Valor sem cotação</t>
  </si>
  <si>
    <t>ECONOMIA</t>
  </si>
  <si>
    <t>MAIOR PREÇO</t>
  </si>
  <si>
    <t xml:space="preserve"> </t>
  </si>
  <si>
    <t>Desligado</t>
  </si>
  <si>
    <t xml:space="preserve">Desconto </t>
  </si>
  <si>
    <t>%</t>
  </si>
  <si>
    <t>Desenvolvida por: Nicolas L. Araujo</t>
  </si>
  <si>
    <t>R$</t>
  </si>
</sst>
</file>

<file path=xl/styles.xml><?xml version="1.0" encoding="utf-8"?>
<styleSheet xmlns="http://schemas.openxmlformats.org/spreadsheetml/2006/main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0\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12121"/>
      <name val="Segoe UI"/>
      <family val="2"/>
    </font>
    <font>
      <b/>
      <sz val="11"/>
      <color rgb="FF212121"/>
      <name val="Times New Roman"/>
      <family val="1"/>
    </font>
    <font>
      <sz val="11"/>
      <color rgb="FF212121"/>
      <name val="Times New Roman"/>
      <family val="1"/>
    </font>
    <font>
      <sz val="11"/>
      <color rgb="FF000000"/>
      <name val="Calibri"/>
      <family val="2"/>
    </font>
    <font>
      <sz val="11"/>
      <color rgb="FF212121"/>
      <name val="Calibri"/>
      <family val="2"/>
      <scheme val="minor"/>
    </font>
    <font>
      <b/>
      <sz val="16"/>
      <color rgb="FFFF0000"/>
      <name val="Times New Roman"/>
      <family val="1"/>
    </font>
    <font>
      <sz val="11"/>
      <color rgb="FFFF0000"/>
      <name val="Segoe UI"/>
      <family val="2"/>
    </font>
    <font>
      <b/>
      <sz val="16"/>
      <color theme="9" tint="-0.249977111117893"/>
      <name val="Times New Roman"/>
      <family val="1"/>
    </font>
    <font>
      <b/>
      <sz val="11"/>
      <color rgb="FF212121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212121"/>
      <name val="Times New Roman"/>
      <family val="1"/>
    </font>
    <font>
      <b/>
      <sz val="11"/>
      <color rgb="FF00000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1" tint="4.9989318521683403E-2"/>
      <name val="Calibri"/>
      <family val="2"/>
      <scheme val="minor"/>
    </font>
    <font>
      <b/>
      <sz val="16"/>
      <color rgb="FF212121"/>
      <name val="Times New Roman"/>
      <family val="1"/>
    </font>
    <font>
      <b/>
      <sz val="22"/>
      <color rgb="FF212121"/>
      <name val="Times New Roman"/>
      <family val="1"/>
    </font>
    <font>
      <b/>
      <sz val="22"/>
      <color theme="4" tint="-0.249977111117893"/>
      <name val="Times New Roman"/>
      <family val="1"/>
    </font>
    <font>
      <sz val="11"/>
      <color theme="0" tint="-0.249977111117893"/>
      <name val="Times New Roman"/>
      <family val="1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1">
    <xf numFmtId="0" fontId="0" fillId="0" borderId="0" xfId="0"/>
    <xf numFmtId="0" fontId="2" fillId="2" borderId="0" xfId="0" applyFont="1" applyFill="1"/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164" fontId="4" fillId="2" borderId="0" xfId="1" applyFont="1" applyFill="1" applyAlignment="1">
      <alignment vertical="center"/>
    </xf>
    <xf numFmtId="164" fontId="0" fillId="0" borderId="0" xfId="1" applyFont="1"/>
    <xf numFmtId="164" fontId="4" fillId="3" borderId="5" xfId="1" applyFont="1" applyFill="1" applyBorder="1" applyAlignment="1">
      <alignment horizontal="center" vertical="center"/>
    </xf>
    <xf numFmtId="0" fontId="2" fillId="2" borderId="0" xfId="0" applyFont="1" applyFill="1" applyBorder="1"/>
    <xf numFmtId="164" fontId="4" fillId="3" borderId="13" xfId="1" applyFont="1" applyFill="1" applyBorder="1" applyAlignment="1">
      <alignment horizontal="center" vertical="center"/>
    </xf>
    <xf numFmtId="164" fontId="4" fillId="3" borderId="3" xfId="1" applyFont="1" applyFill="1" applyBorder="1" applyAlignment="1">
      <alignment horizontal="center" vertical="center"/>
    </xf>
    <xf numFmtId="164" fontId="8" fillId="3" borderId="0" xfId="1" applyFont="1" applyFill="1" applyBorder="1"/>
    <xf numFmtId="9" fontId="0" fillId="0" borderId="0" xfId="2" applyFont="1"/>
    <xf numFmtId="164" fontId="4" fillId="3" borderId="5" xfId="3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64" fontId="2" fillId="2" borderId="0" xfId="1" applyFont="1" applyFill="1" applyAlignment="1">
      <alignment horizontal="center"/>
    </xf>
    <xf numFmtId="0" fontId="0" fillId="2" borderId="0" xfId="0" applyFont="1" applyFill="1"/>
    <xf numFmtId="0" fontId="0" fillId="0" borderId="0" xfId="0" applyFont="1"/>
    <xf numFmtId="0" fontId="3" fillId="2" borderId="19" xfId="0" applyFont="1" applyFill="1" applyBorder="1" applyAlignment="1">
      <alignment horizontal="center" vertical="center"/>
    </xf>
    <xf numFmtId="0" fontId="4" fillId="3" borderId="5" xfId="0" applyNumberFormat="1" applyFont="1" applyFill="1" applyBorder="1" applyAlignment="1">
      <alignment vertical="center"/>
    </xf>
    <xf numFmtId="164" fontId="10" fillId="5" borderId="10" xfId="0" applyNumberFormat="1" applyFont="1" applyFill="1" applyBorder="1"/>
    <xf numFmtId="164" fontId="10" fillId="5" borderId="13" xfId="0" applyNumberFormat="1" applyFont="1" applyFill="1" applyBorder="1" applyAlignment="1">
      <alignment vertical="center"/>
    </xf>
    <xf numFmtId="9" fontId="0" fillId="0" borderId="0" xfId="0" applyNumberFormat="1" applyFont="1"/>
    <xf numFmtId="0" fontId="0" fillId="0" borderId="0" xfId="0" applyFont="1" applyAlignment="1">
      <alignment vertical="center" wrapText="1"/>
    </xf>
    <xf numFmtId="0" fontId="16" fillId="0" borderId="0" xfId="0" applyFont="1"/>
    <xf numFmtId="0" fontId="0" fillId="0" borderId="12" xfId="0" applyFont="1" applyBorder="1"/>
    <xf numFmtId="0" fontId="0" fillId="0" borderId="15" xfId="0" applyFont="1" applyBorder="1"/>
    <xf numFmtId="0" fontId="0" fillId="0" borderId="9" xfId="0" applyFont="1" applyBorder="1"/>
    <xf numFmtId="0" fontId="0" fillId="0" borderId="11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14" xfId="0" applyFont="1" applyBorder="1"/>
    <xf numFmtId="0" fontId="0" fillId="0" borderId="19" xfId="0" applyFont="1" applyBorder="1"/>
    <xf numFmtId="0" fontId="0" fillId="0" borderId="5" xfId="0" applyFont="1" applyBorder="1"/>
    <xf numFmtId="0" fontId="3" fillId="2" borderId="10" xfId="0" applyFont="1" applyFill="1" applyBorder="1" applyAlignment="1">
      <alignment vertical="center"/>
    </xf>
    <xf numFmtId="164" fontId="20" fillId="2" borderId="0" xfId="1" applyFont="1" applyFill="1" applyAlignment="1">
      <alignment horizontal="right" vertical="center"/>
    </xf>
    <xf numFmtId="0" fontId="6" fillId="2" borderId="3" xfId="0" applyFont="1" applyFill="1" applyBorder="1" applyProtection="1"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NumberFormat="1" applyFont="1" applyFill="1" applyBorder="1" applyAlignment="1" applyProtection="1">
      <alignment vertical="center"/>
      <protection locked="0"/>
    </xf>
    <xf numFmtId="0" fontId="4" fillId="2" borderId="3" xfId="0" applyFont="1" applyFill="1" applyBorder="1" applyProtection="1">
      <protection locked="0"/>
    </xf>
    <xf numFmtId="0" fontId="4" fillId="3" borderId="4" xfId="0" applyFont="1" applyFill="1" applyBorder="1" applyAlignment="1" applyProtection="1">
      <alignment vertical="center"/>
      <protection locked="0"/>
    </xf>
    <xf numFmtId="0" fontId="4" fillId="2" borderId="8" xfId="0" applyFont="1" applyFill="1" applyBorder="1" applyProtection="1">
      <protection locked="0"/>
    </xf>
    <xf numFmtId="0" fontId="4" fillId="3" borderId="8" xfId="0" applyFont="1" applyFill="1" applyBorder="1" applyAlignment="1" applyProtection="1">
      <alignment vertical="center"/>
      <protection locked="0"/>
    </xf>
    <xf numFmtId="0" fontId="6" fillId="2" borderId="13" xfId="0" applyFont="1" applyFill="1" applyBorder="1" applyProtection="1">
      <protection locked="0"/>
    </xf>
    <xf numFmtId="0" fontId="0" fillId="0" borderId="0" xfId="0" applyFont="1" applyFill="1" applyBorder="1"/>
    <xf numFmtId="0" fontId="4" fillId="3" borderId="5" xfId="0" quotePrefix="1" applyNumberFormat="1" applyFont="1" applyFill="1" applyBorder="1" applyAlignment="1" applyProtection="1">
      <alignment vertical="center"/>
      <protection locked="0"/>
    </xf>
    <xf numFmtId="0" fontId="4" fillId="3" borderId="5" xfId="0" quotePrefix="1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>
      <alignment horizontal="center"/>
    </xf>
    <xf numFmtId="0" fontId="21" fillId="0" borderId="0" xfId="0" applyFont="1"/>
    <xf numFmtId="0" fontId="3" fillId="2" borderId="7" xfId="0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/>
    <xf numFmtId="0" fontId="22" fillId="0" borderId="0" xfId="0" applyFont="1"/>
    <xf numFmtId="0" fontId="0" fillId="0" borderId="22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3" fillId="5" borderId="17" xfId="0" applyFont="1" applyFill="1" applyBorder="1" applyAlignment="1" applyProtection="1">
      <alignment horizontal="center" vertical="center" wrapText="1"/>
      <protection locked="0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 wrapText="1"/>
    </xf>
    <xf numFmtId="0" fontId="0" fillId="0" borderId="4" xfId="0" applyFont="1" applyBorder="1"/>
    <xf numFmtId="0" fontId="0" fillId="0" borderId="3" xfId="0" applyFont="1" applyBorder="1"/>
    <xf numFmtId="0" fontId="3" fillId="5" borderId="16" xfId="0" applyFont="1" applyFill="1" applyBorder="1" applyAlignment="1" applyProtection="1">
      <alignment horizontal="center" vertical="center" wrapText="1"/>
      <protection locked="0"/>
    </xf>
    <xf numFmtId="0" fontId="3" fillId="5" borderId="8" xfId="0" applyFont="1" applyFill="1" applyBorder="1" applyAlignment="1">
      <alignment horizontal="center" vertical="center"/>
    </xf>
    <xf numFmtId="164" fontId="3" fillId="5" borderId="8" xfId="1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3" fillId="5" borderId="18" xfId="0" applyFont="1" applyFill="1" applyBorder="1" applyAlignment="1" applyProtection="1">
      <alignment horizontal="center" vertical="center" wrapText="1"/>
      <protection locked="0"/>
    </xf>
    <xf numFmtId="0" fontId="3" fillId="5" borderId="10" xfId="0" applyFont="1" applyFill="1" applyBorder="1" applyAlignment="1" applyProtection="1">
      <alignment horizontal="center" vertical="center" wrapText="1"/>
      <protection locked="0"/>
    </xf>
    <xf numFmtId="0" fontId="3" fillId="5" borderId="7" xfId="0" applyFont="1" applyFill="1" applyBorder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164" fontId="15" fillId="7" borderId="10" xfId="0" applyNumberFormat="1" applyFont="1" applyFill="1" applyBorder="1" applyAlignment="1">
      <alignment horizontal="center" vertical="center"/>
    </xf>
    <xf numFmtId="164" fontId="15" fillId="7" borderId="7" xfId="0" applyNumberFormat="1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164" fontId="3" fillId="6" borderId="7" xfId="0" applyNumberFormat="1" applyFont="1" applyFill="1" applyBorder="1" applyAlignment="1">
      <alignment horizontal="center" vertical="center"/>
    </xf>
    <xf numFmtId="164" fontId="3" fillId="6" borderId="10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15" fillId="7" borderId="20" xfId="0" applyNumberFormat="1" applyFont="1" applyFill="1" applyBorder="1" applyAlignment="1">
      <alignment horizontal="center" vertical="center"/>
    </xf>
    <xf numFmtId="164" fontId="15" fillId="7" borderId="9" xfId="0" applyNumberFormat="1" applyFont="1" applyFill="1" applyBorder="1" applyAlignment="1">
      <alignment horizontal="center" vertical="center"/>
    </xf>
    <xf numFmtId="165" fontId="0" fillId="0" borderId="10" xfId="2" applyNumberFormat="1" applyFont="1" applyBorder="1" applyAlignment="1" applyProtection="1">
      <alignment horizontal="center"/>
      <protection locked="0"/>
    </xf>
    <xf numFmtId="165" fontId="0" fillId="0" borderId="7" xfId="2" applyNumberFormat="1" applyFont="1" applyBorder="1" applyAlignment="1" applyProtection="1">
      <alignment horizontal="center"/>
      <protection locked="0"/>
    </xf>
    <xf numFmtId="164" fontId="9" fillId="4" borderId="10" xfId="1" applyFont="1" applyFill="1" applyBorder="1" applyAlignment="1">
      <alignment horizontal="center" vertical="center"/>
    </xf>
    <xf numFmtId="164" fontId="9" fillId="4" borderId="2" xfId="1" applyFont="1" applyFill="1" applyBorder="1" applyAlignment="1">
      <alignment horizontal="center" vertical="center"/>
    </xf>
    <xf numFmtId="164" fontId="9" fillId="4" borderId="7" xfId="1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44" fontId="3" fillId="2" borderId="21" xfId="0" applyNumberFormat="1" applyFont="1" applyFill="1" applyBorder="1" applyAlignment="1">
      <alignment horizontal="center" vertical="center"/>
    </xf>
    <xf numFmtId="44" fontId="3" fillId="2" borderId="5" xfId="0" applyNumberFormat="1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164" fontId="19" fillId="4" borderId="10" xfId="1" applyFont="1" applyFill="1" applyBorder="1" applyAlignment="1">
      <alignment horizontal="center" vertical="center"/>
    </xf>
    <xf numFmtId="164" fontId="19" fillId="4" borderId="2" xfId="1" applyFont="1" applyFill="1" applyBorder="1" applyAlignment="1">
      <alignment horizontal="center" vertical="center"/>
    </xf>
    <xf numFmtId="164" fontId="19" fillId="4" borderId="7" xfId="1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164" fontId="7" fillId="4" borderId="10" xfId="1" applyFont="1" applyFill="1" applyBorder="1" applyAlignment="1">
      <alignment horizontal="center" vertical="center"/>
    </xf>
    <xf numFmtId="164" fontId="7" fillId="4" borderId="2" xfId="1" applyFont="1" applyFill="1" applyBorder="1" applyAlignment="1">
      <alignment horizontal="center" vertical="center"/>
    </xf>
    <xf numFmtId="164" fontId="7" fillId="4" borderId="7" xfId="1" applyFont="1" applyFill="1" applyBorder="1" applyAlignment="1">
      <alignment horizontal="center" vertical="center"/>
    </xf>
    <xf numFmtId="0" fontId="3" fillId="5" borderId="2" xfId="0" applyFont="1" applyFill="1" applyBorder="1" applyAlignment="1" applyProtection="1">
      <alignment horizontal="center" vertical="center" wrapText="1"/>
      <protection locked="0"/>
    </xf>
    <xf numFmtId="0" fontId="17" fillId="4" borderId="14" xfId="0" applyFont="1" applyFill="1" applyBorder="1" applyAlignment="1">
      <alignment horizontal="center" vertical="center"/>
    </xf>
    <xf numFmtId="0" fontId="17" fillId="4" borderId="19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</cellXfs>
  <cellStyles count="26">
    <cellStyle name="Moeda" xfId="1" builtinId="4"/>
    <cellStyle name="Moeda 10" xfId="11"/>
    <cellStyle name="Moeda 11" xfId="12"/>
    <cellStyle name="Moeda 12" xfId="13"/>
    <cellStyle name="Moeda 13" xfId="14"/>
    <cellStyle name="Moeda 14" xfId="15"/>
    <cellStyle name="Moeda 15" xfId="16"/>
    <cellStyle name="Moeda 16" xfId="17"/>
    <cellStyle name="Moeda 17" xfId="18"/>
    <cellStyle name="Moeda 18" xfId="19"/>
    <cellStyle name="Moeda 19" xfId="20"/>
    <cellStyle name="Moeda 2" xfId="3"/>
    <cellStyle name="Moeda 20" xfId="21"/>
    <cellStyle name="Moeda 21" xfId="22"/>
    <cellStyle name="Moeda 22" xfId="23"/>
    <cellStyle name="Moeda 23" xfId="24"/>
    <cellStyle name="Moeda 24" xfId="25"/>
    <cellStyle name="Moeda 3" xfId="4"/>
    <cellStyle name="Moeda 4" xfId="5"/>
    <cellStyle name="Moeda 5" xfId="6"/>
    <cellStyle name="Moeda 6" xfId="7"/>
    <cellStyle name="Moeda 7" xfId="8"/>
    <cellStyle name="Moeda 8" xfId="9"/>
    <cellStyle name="Moeda 9" xfId="10"/>
    <cellStyle name="Normal" xfId="0" builtinId="0"/>
    <cellStyle name="Porcentagem" xfId="2" builtinId="5"/>
  </cellStyles>
  <dxfs count="9">
    <dxf>
      <numFmt numFmtId="34" formatCode="_-&quot;R$&quot;\ * #,##0.00_-;\-&quot;R$&quot;\ * #,##0.00_-;_-&quot;R$&quot;\ * &quot;-&quot;??_-;_-@_-"/>
      <fill>
        <patternFill patternType="none">
          <bgColor auto="1"/>
        </patternFill>
      </fill>
    </dxf>
    <dxf>
      <numFmt numFmtId="165" formatCode="0\%"/>
    </dxf>
    <dxf>
      <fill>
        <patternFill>
          <bgColor theme="0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rgb="FFCC99FF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2"/>
  <dimension ref="A1:XFD694"/>
  <sheetViews>
    <sheetView showGridLines="0" tabSelected="1" zoomScale="60" zoomScaleNormal="60" workbookViewId="0">
      <selection activeCell="C106" sqref="C106:J106"/>
    </sheetView>
  </sheetViews>
  <sheetFormatPr defaultRowHeight="15"/>
  <cols>
    <col min="1" max="1" width="3.28515625" style="18" customWidth="1"/>
    <col min="2" max="2" width="40.140625" style="18" customWidth="1"/>
    <col min="3" max="3" width="13.140625" style="18" bestFit="1" customWidth="1"/>
    <col min="4" max="4" width="10.28515625" style="18" customWidth="1"/>
    <col min="5" max="5" width="15.5703125" style="18" customWidth="1"/>
    <col min="6" max="6" width="18.85546875" style="18" customWidth="1"/>
    <col min="7" max="7" width="13.7109375" style="18" bestFit="1" customWidth="1"/>
    <col min="8" max="8" width="15.7109375" style="18" customWidth="1"/>
    <col min="9" max="9" width="15.140625" style="7" bestFit="1" customWidth="1"/>
    <col min="10" max="10" width="17.140625" style="7" customWidth="1"/>
    <col min="11" max="12" width="14.7109375" style="18" customWidth="1"/>
    <col min="13" max="13" width="15.140625" style="18" bestFit="1" customWidth="1"/>
    <col min="14" max="14" width="16.28515625" style="18" bestFit="1" customWidth="1"/>
    <col min="15" max="15" width="21.85546875" style="18" bestFit="1" customWidth="1"/>
    <col min="16" max="16" width="20.5703125" style="18" bestFit="1" customWidth="1"/>
    <col min="17" max="18" width="12.5703125" style="18" hidden="1" customWidth="1"/>
    <col min="19" max="21" width="12" style="18" bestFit="1" customWidth="1"/>
    <col min="22" max="16384" width="9.140625" style="18"/>
  </cols>
  <sheetData>
    <row r="1" spans="1:19" ht="16.5">
      <c r="A1" s="57" t="s">
        <v>0</v>
      </c>
      <c r="B1" s="57"/>
      <c r="C1" s="57"/>
      <c r="D1" s="57"/>
      <c r="E1" s="58"/>
      <c r="F1" s="15"/>
      <c r="G1" s="15"/>
      <c r="H1" s="15"/>
      <c r="I1" s="15"/>
      <c r="J1" s="16"/>
      <c r="K1" s="1"/>
      <c r="L1" s="1"/>
      <c r="M1" s="1"/>
      <c r="N1" s="17"/>
    </row>
    <row r="2" spans="1:19" ht="16.5">
      <c r="A2" s="57"/>
      <c r="B2" s="57"/>
      <c r="C2" s="57"/>
      <c r="D2" s="57"/>
      <c r="E2" s="58"/>
      <c r="F2" s="15" t="str">
        <f ca="1">CONCATENATE("Data: ",TEXT(TODAY(),"dd/mm/aa"))</f>
        <v>Data: 30/12/20</v>
      </c>
      <c r="G2" s="15"/>
      <c r="H2" s="15"/>
      <c r="I2" s="15"/>
      <c r="J2" s="15"/>
      <c r="K2" s="1"/>
      <c r="L2" s="1"/>
      <c r="M2" s="1"/>
      <c r="N2" s="1"/>
    </row>
    <row r="3" spans="1:19" ht="30.75" customHeight="1" thickBot="1">
      <c r="A3" s="57"/>
      <c r="B3" s="57"/>
      <c r="C3" s="57"/>
      <c r="D3" s="57"/>
      <c r="E3" s="58"/>
      <c r="F3" s="19"/>
      <c r="G3" s="19"/>
      <c r="H3" s="19"/>
      <c r="I3" s="19"/>
      <c r="J3" s="19"/>
      <c r="K3" s="9"/>
      <c r="L3" s="9"/>
      <c r="M3" s="1"/>
      <c r="N3" s="1"/>
    </row>
    <row r="4" spans="1:19" ht="17.25" thickBot="1">
      <c r="A4" s="1"/>
      <c r="B4" s="59" t="s">
        <v>1</v>
      </c>
      <c r="C4" s="59" t="s">
        <v>2</v>
      </c>
      <c r="D4" s="59" t="s">
        <v>8</v>
      </c>
      <c r="E4" s="62"/>
      <c r="F4" s="56"/>
      <c r="G4" s="56"/>
      <c r="H4" s="56"/>
      <c r="I4" s="56"/>
      <c r="J4" s="66"/>
      <c r="K4" s="67"/>
      <c r="L4" s="68"/>
      <c r="M4" s="67"/>
      <c r="N4" s="68"/>
      <c r="O4" s="69" t="s">
        <v>14</v>
      </c>
      <c r="P4" s="70"/>
    </row>
    <row r="5" spans="1:19" ht="16.5">
      <c r="A5" s="1"/>
      <c r="B5" s="60"/>
      <c r="C5" s="60"/>
      <c r="D5" s="60"/>
      <c r="E5" s="63" t="s">
        <v>3</v>
      </c>
      <c r="F5" s="63" t="s">
        <v>4</v>
      </c>
      <c r="G5" s="63" t="s">
        <v>5</v>
      </c>
      <c r="H5" s="63" t="s">
        <v>4</v>
      </c>
      <c r="I5" s="64" t="s">
        <v>3</v>
      </c>
      <c r="J5" s="64" t="s">
        <v>4</v>
      </c>
      <c r="K5" s="64" t="s">
        <v>3</v>
      </c>
      <c r="L5" s="64" t="s">
        <v>4</v>
      </c>
      <c r="M5" s="64" t="s">
        <v>3</v>
      </c>
      <c r="N5" s="64" t="s">
        <v>4</v>
      </c>
      <c r="O5" s="65" t="s">
        <v>9</v>
      </c>
      <c r="P5" s="65" t="s">
        <v>12</v>
      </c>
    </row>
    <row r="6" spans="1:19" ht="17.25" thickBot="1">
      <c r="A6" s="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</row>
    <row r="7" spans="1:19" ht="17.25" thickBot="1">
      <c r="A7" s="3" t="str">
        <f>IF(B7="","",1)</f>
        <v/>
      </c>
      <c r="B7" s="37"/>
      <c r="C7" s="38"/>
      <c r="D7" s="38"/>
      <c r="E7" s="46"/>
      <c r="F7" s="8">
        <f t="shared" ref="F7:F70" si="0">E7*D7</f>
        <v>0</v>
      </c>
      <c r="G7" s="39"/>
      <c r="H7" s="14">
        <f>G7*D7</f>
        <v>0</v>
      </c>
      <c r="I7" s="39"/>
      <c r="J7" s="10">
        <f t="shared" ref="J7:J70" si="1">I7*D7</f>
        <v>0</v>
      </c>
      <c r="K7" s="39"/>
      <c r="L7" s="11">
        <f t="shared" ref="L7:L70" si="2">K7*D7</f>
        <v>0</v>
      </c>
      <c r="M7" s="39"/>
      <c r="N7" s="11">
        <f>M7*D7</f>
        <v>0</v>
      </c>
      <c r="O7" s="21">
        <f t="array" ref="O7">MIN(IF(I112:M112&lt;=0,"",I112:M112))</f>
        <v>0</v>
      </c>
      <c r="P7" s="22">
        <f>MAX(E7,G7,I7,K7,M7)</f>
        <v>0</v>
      </c>
      <c r="Q7" s="21">
        <f t="array" ref="Q7">MIN(IF(B112:F112&lt;=0,"",B112:F112))</f>
        <v>0</v>
      </c>
      <c r="R7" s="22">
        <f t="shared" ref="R7:R70" si="3">MAX(F7,H7,J7,L7,N7)</f>
        <v>0</v>
      </c>
    </row>
    <row r="8" spans="1:19" ht="17.25" thickBot="1">
      <c r="A8" s="3" t="str">
        <f>IF(B8="","",LARGE($A$7:A7,1)+1)</f>
        <v/>
      </c>
      <c r="B8" s="40"/>
      <c r="C8" s="38"/>
      <c r="D8" s="47"/>
      <c r="E8" s="39"/>
      <c r="F8" s="8">
        <f t="shared" si="0"/>
        <v>0</v>
      </c>
      <c r="G8" s="39"/>
      <c r="H8" s="14">
        <f t="shared" ref="H8:H71" si="4">G8*D8</f>
        <v>0</v>
      </c>
      <c r="I8" s="39"/>
      <c r="J8" s="10">
        <f t="shared" si="1"/>
        <v>0</v>
      </c>
      <c r="K8" s="39"/>
      <c r="L8" s="11">
        <f t="shared" si="2"/>
        <v>0</v>
      </c>
      <c r="M8" s="39"/>
      <c r="N8" s="11">
        <f t="shared" ref="N8:N71" si="5">M8*D8</f>
        <v>0</v>
      </c>
      <c r="O8" s="21">
        <f t="array" ref="O8">MIN(IF(I113:M113&lt;=0,"",I113:M113))</f>
        <v>0</v>
      </c>
      <c r="P8" s="22">
        <f t="shared" ref="P8:P71" si="6">MAX(E8,G8,I8,K8,M8)</f>
        <v>0</v>
      </c>
      <c r="Q8" s="21">
        <f t="array" ref="Q8">MIN(IF(B113:F113&lt;=0,"",B113:F113))</f>
        <v>0</v>
      </c>
      <c r="R8" s="22">
        <f t="shared" si="3"/>
        <v>0</v>
      </c>
    </row>
    <row r="9" spans="1:19" ht="17.25" thickBot="1">
      <c r="A9" s="3" t="str">
        <f>IF(B9="","",LARGE($A$7:A8,1)+1)</f>
        <v/>
      </c>
      <c r="B9" s="40"/>
      <c r="C9" s="38"/>
      <c r="D9" s="38"/>
      <c r="E9" s="39"/>
      <c r="F9" s="8">
        <f t="shared" si="0"/>
        <v>0</v>
      </c>
      <c r="G9" s="39"/>
      <c r="H9" s="14">
        <f t="shared" si="4"/>
        <v>0</v>
      </c>
      <c r="I9" s="39"/>
      <c r="J9" s="10">
        <f t="shared" si="1"/>
        <v>0</v>
      </c>
      <c r="K9" s="39"/>
      <c r="L9" s="11">
        <f t="shared" si="2"/>
        <v>0</v>
      </c>
      <c r="M9" s="39"/>
      <c r="N9" s="11">
        <f t="shared" si="5"/>
        <v>0</v>
      </c>
      <c r="O9" s="21">
        <f t="array" ref="O9">MIN(IF(I114:M114&lt;=0,"",I114:M114))</f>
        <v>0</v>
      </c>
      <c r="P9" s="22">
        <f t="shared" si="6"/>
        <v>0</v>
      </c>
      <c r="Q9" s="21">
        <f t="array" ref="Q9">MIN(IF(B114:F114&lt;=0,"",B114:F114))</f>
        <v>0</v>
      </c>
      <c r="R9" s="22">
        <f t="shared" si="3"/>
        <v>0</v>
      </c>
    </row>
    <row r="10" spans="1:19" ht="17.25" thickBot="1">
      <c r="A10" s="3" t="str">
        <f>IF(B10="","",LARGE($A$7:A9,1)+1)</f>
        <v/>
      </c>
      <c r="B10" s="40"/>
      <c r="C10" s="38"/>
      <c r="D10" s="38"/>
      <c r="E10" s="39"/>
      <c r="F10" s="8">
        <f t="shared" si="0"/>
        <v>0</v>
      </c>
      <c r="G10" s="39"/>
      <c r="H10" s="14">
        <f t="shared" si="4"/>
        <v>0</v>
      </c>
      <c r="I10" s="39"/>
      <c r="J10" s="10">
        <f t="shared" si="1"/>
        <v>0</v>
      </c>
      <c r="K10" s="39"/>
      <c r="L10" s="11">
        <f t="shared" si="2"/>
        <v>0</v>
      </c>
      <c r="M10" s="39"/>
      <c r="N10" s="11">
        <f t="shared" si="5"/>
        <v>0</v>
      </c>
      <c r="O10" s="21">
        <f t="array" ref="O10">MIN(IF(I115:M115&lt;=0,"",I115:M115))</f>
        <v>0</v>
      </c>
      <c r="P10" s="22">
        <f t="shared" si="6"/>
        <v>0</v>
      </c>
      <c r="Q10" s="21">
        <f t="array" ref="Q10">MIN(IF(B115:F115&lt;=0,"",B115:F115))</f>
        <v>0</v>
      </c>
      <c r="R10" s="22">
        <f t="shared" si="3"/>
        <v>0</v>
      </c>
      <c r="S10" s="45"/>
    </row>
    <row r="11" spans="1:19" ht="17.25" thickBot="1">
      <c r="A11" s="3" t="str">
        <f>IF(B11="","",LARGE($A$7:A10,1)+1)</f>
        <v/>
      </c>
      <c r="B11" s="40"/>
      <c r="C11" s="38"/>
      <c r="D11" s="38"/>
      <c r="E11" s="39"/>
      <c r="F11" s="8">
        <f t="shared" si="0"/>
        <v>0</v>
      </c>
      <c r="G11" s="39"/>
      <c r="H11" s="14">
        <f t="shared" si="4"/>
        <v>0</v>
      </c>
      <c r="I11" s="39"/>
      <c r="J11" s="10">
        <f t="shared" si="1"/>
        <v>0</v>
      </c>
      <c r="K11" s="39"/>
      <c r="L11" s="11">
        <f t="shared" si="2"/>
        <v>0</v>
      </c>
      <c r="M11" s="39"/>
      <c r="N11" s="11">
        <f t="shared" si="5"/>
        <v>0</v>
      </c>
      <c r="O11" s="21">
        <f t="array" ref="O11">MIN(IF(I116:M116&lt;=0,"",I116:M116))</f>
        <v>0</v>
      </c>
      <c r="P11" s="22">
        <f t="shared" si="6"/>
        <v>0</v>
      </c>
      <c r="Q11" s="21">
        <f t="array" ref="Q11">MIN(IF(B116:F116&lt;=0,"",B116:F116))</f>
        <v>0</v>
      </c>
      <c r="R11" s="22">
        <f t="shared" si="3"/>
        <v>0</v>
      </c>
      <c r="S11" s="45"/>
    </row>
    <row r="12" spans="1:19" ht="17.25" thickBot="1">
      <c r="A12" s="3" t="str">
        <f>IF(B12="","",LARGE($A$7:A11,1)+1)</f>
        <v/>
      </c>
      <c r="B12" s="40"/>
      <c r="C12" s="38"/>
      <c r="D12" s="38"/>
      <c r="E12" s="39"/>
      <c r="F12" s="8">
        <f t="shared" si="0"/>
        <v>0</v>
      </c>
      <c r="G12" s="39"/>
      <c r="H12" s="14">
        <f t="shared" si="4"/>
        <v>0</v>
      </c>
      <c r="I12" s="39"/>
      <c r="J12" s="10">
        <f t="shared" si="1"/>
        <v>0</v>
      </c>
      <c r="K12" s="39"/>
      <c r="L12" s="11">
        <f t="shared" si="2"/>
        <v>0</v>
      </c>
      <c r="M12" s="39"/>
      <c r="N12" s="11">
        <f t="shared" si="5"/>
        <v>0</v>
      </c>
      <c r="O12" s="21">
        <f t="array" ref="O12">MIN(IF(I117:M117&lt;=0,"",I117:M117))</f>
        <v>0</v>
      </c>
      <c r="P12" s="22">
        <f t="shared" si="6"/>
        <v>0</v>
      </c>
      <c r="Q12" s="21">
        <f t="array" ref="Q12">MIN(IF(B117:F117&lt;=0,"",B117:F117))</f>
        <v>0</v>
      </c>
      <c r="R12" s="22">
        <f t="shared" si="3"/>
        <v>0</v>
      </c>
    </row>
    <row r="13" spans="1:19" ht="17.25" thickBot="1">
      <c r="A13" s="3" t="str">
        <f>IF(B13="","",LARGE($A$7:A12,1)+1)</f>
        <v/>
      </c>
      <c r="B13" s="40"/>
      <c r="C13" s="38"/>
      <c r="D13" s="38"/>
      <c r="E13" s="39"/>
      <c r="F13" s="8">
        <f t="shared" si="0"/>
        <v>0</v>
      </c>
      <c r="G13" s="39"/>
      <c r="H13" s="14">
        <f t="shared" si="4"/>
        <v>0</v>
      </c>
      <c r="I13" s="39"/>
      <c r="J13" s="10">
        <f t="shared" si="1"/>
        <v>0</v>
      </c>
      <c r="K13" s="39"/>
      <c r="L13" s="11">
        <f t="shared" si="2"/>
        <v>0</v>
      </c>
      <c r="M13" s="39"/>
      <c r="N13" s="11">
        <f t="shared" si="5"/>
        <v>0</v>
      </c>
      <c r="O13" s="21">
        <f t="array" ref="O13">MIN(IF(I118:M118&lt;=0,"",I118:M118))</f>
        <v>0</v>
      </c>
      <c r="P13" s="22">
        <f t="shared" si="6"/>
        <v>0</v>
      </c>
      <c r="Q13" s="21">
        <f t="array" ref="Q13">MIN(IF(B118:F118&lt;=0,"",B118:F118))</f>
        <v>0</v>
      </c>
      <c r="R13" s="22">
        <f t="shared" si="3"/>
        <v>0</v>
      </c>
    </row>
    <row r="14" spans="1:19" ht="17.25" thickBot="1">
      <c r="A14" s="3" t="str">
        <f>IF(B14="","",LARGE($A$7:A13,1)+1)</f>
        <v/>
      </c>
      <c r="B14" s="40"/>
      <c r="C14" s="38"/>
      <c r="D14" s="38"/>
      <c r="E14" s="39"/>
      <c r="F14" s="8">
        <f t="shared" si="0"/>
        <v>0</v>
      </c>
      <c r="G14" s="39"/>
      <c r="H14" s="14">
        <f t="shared" si="4"/>
        <v>0</v>
      </c>
      <c r="I14" s="39"/>
      <c r="J14" s="10">
        <f t="shared" si="1"/>
        <v>0</v>
      </c>
      <c r="K14" s="39"/>
      <c r="L14" s="11">
        <f t="shared" si="2"/>
        <v>0</v>
      </c>
      <c r="M14" s="39"/>
      <c r="N14" s="11">
        <f t="shared" si="5"/>
        <v>0</v>
      </c>
      <c r="O14" s="21">
        <f t="array" ref="O14">MIN(IF(I119:M119&lt;=0,"",I119:M119))</f>
        <v>0</v>
      </c>
      <c r="P14" s="22">
        <f t="shared" si="6"/>
        <v>0</v>
      </c>
      <c r="Q14" s="21">
        <f t="array" ref="Q14">MIN(IF(B119:F119&lt;=0,"",B119:F119))</f>
        <v>0</v>
      </c>
      <c r="R14" s="22">
        <f t="shared" si="3"/>
        <v>0</v>
      </c>
    </row>
    <row r="15" spans="1:19" ht="17.25" thickBot="1">
      <c r="A15" s="3" t="str">
        <f>IF(B15="","",LARGE($A$7:A14,1)+1)</f>
        <v/>
      </c>
      <c r="B15" s="40"/>
      <c r="C15" s="38"/>
      <c r="D15" s="38"/>
      <c r="E15" s="39"/>
      <c r="F15" s="8">
        <f t="shared" si="0"/>
        <v>0</v>
      </c>
      <c r="G15" s="39"/>
      <c r="H15" s="14">
        <f t="shared" si="4"/>
        <v>0</v>
      </c>
      <c r="I15" s="39"/>
      <c r="J15" s="10">
        <f t="shared" si="1"/>
        <v>0</v>
      </c>
      <c r="K15" s="39"/>
      <c r="L15" s="11">
        <f t="shared" si="2"/>
        <v>0</v>
      </c>
      <c r="M15" s="39"/>
      <c r="N15" s="11">
        <f t="shared" si="5"/>
        <v>0</v>
      </c>
      <c r="O15" s="21">
        <f t="array" ref="O15">MIN(IF(I120:M120&lt;=0,"",I120:M120))</f>
        <v>0</v>
      </c>
      <c r="P15" s="22">
        <f t="shared" si="6"/>
        <v>0</v>
      </c>
      <c r="Q15" s="21">
        <f t="array" ref="Q15">MIN(IF(B120:F120&lt;=0,"",B120:F120))</f>
        <v>0</v>
      </c>
      <c r="R15" s="22">
        <f t="shared" si="3"/>
        <v>0</v>
      </c>
      <c r="S15" s="45"/>
    </row>
    <row r="16" spans="1:19" ht="17.25" thickBot="1">
      <c r="A16" s="3" t="str">
        <f>IF(B16="","",LARGE($A$7:A15,1)+1)</f>
        <v/>
      </c>
      <c r="B16" s="40"/>
      <c r="C16" s="38"/>
      <c r="D16" s="38"/>
      <c r="E16" s="39"/>
      <c r="F16" s="8">
        <f t="shared" si="0"/>
        <v>0</v>
      </c>
      <c r="G16" s="39"/>
      <c r="H16" s="14">
        <f t="shared" si="4"/>
        <v>0</v>
      </c>
      <c r="I16" s="39"/>
      <c r="J16" s="10">
        <f t="shared" si="1"/>
        <v>0</v>
      </c>
      <c r="K16" s="39"/>
      <c r="L16" s="11">
        <f t="shared" si="2"/>
        <v>0</v>
      </c>
      <c r="M16" s="39"/>
      <c r="N16" s="11">
        <f t="shared" si="5"/>
        <v>0</v>
      </c>
      <c r="O16" s="21">
        <f t="array" ref="O16">MIN(IF(I121:M121&lt;=0,"",I121:M121))</f>
        <v>0</v>
      </c>
      <c r="P16" s="22">
        <f t="shared" si="6"/>
        <v>0</v>
      </c>
      <c r="Q16" s="21">
        <f t="array" ref="Q16">MIN(IF(B121:F121&lt;=0,"",B121:F121))</f>
        <v>0</v>
      </c>
      <c r="R16" s="22">
        <f t="shared" si="3"/>
        <v>0</v>
      </c>
      <c r="S16" s="45"/>
    </row>
    <row r="17" spans="1:19" ht="17.25" thickBot="1">
      <c r="A17" s="3" t="str">
        <f>IF(B17="","",LARGE($A$7:A16,1)+1)</f>
        <v/>
      </c>
      <c r="B17" s="40"/>
      <c r="C17" s="38"/>
      <c r="D17" s="38"/>
      <c r="E17" s="39"/>
      <c r="F17" s="8">
        <f t="shared" si="0"/>
        <v>0</v>
      </c>
      <c r="G17" s="39"/>
      <c r="H17" s="14">
        <f t="shared" si="4"/>
        <v>0</v>
      </c>
      <c r="I17" s="39"/>
      <c r="J17" s="10">
        <f t="shared" si="1"/>
        <v>0</v>
      </c>
      <c r="K17" s="39"/>
      <c r="L17" s="11">
        <f t="shared" si="2"/>
        <v>0</v>
      </c>
      <c r="M17" s="39"/>
      <c r="N17" s="11">
        <f t="shared" si="5"/>
        <v>0</v>
      </c>
      <c r="O17" s="21">
        <f t="array" ref="O17">MIN(IF(I122:M122&lt;=0,"",I122:M122))</f>
        <v>0</v>
      </c>
      <c r="P17" s="22">
        <f t="shared" si="6"/>
        <v>0</v>
      </c>
      <c r="Q17" s="21">
        <f t="array" ref="Q17">MIN(IF(B122:F122&lt;=0,"",B122:F122))</f>
        <v>0</v>
      </c>
      <c r="R17" s="22">
        <f t="shared" si="3"/>
        <v>0</v>
      </c>
    </row>
    <row r="18" spans="1:19" ht="17.25" thickBot="1">
      <c r="A18" s="3" t="str">
        <f>IF(B18="","",LARGE($A$7:A17,1)+1)</f>
        <v/>
      </c>
      <c r="B18" s="40"/>
      <c r="C18" s="38"/>
      <c r="D18" s="38"/>
      <c r="E18" s="39"/>
      <c r="F18" s="8">
        <f t="shared" si="0"/>
        <v>0</v>
      </c>
      <c r="G18" s="39"/>
      <c r="H18" s="14">
        <f t="shared" si="4"/>
        <v>0</v>
      </c>
      <c r="I18" s="39"/>
      <c r="J18" s="10">
        <f t="shared" si="1"/>
        <v>0</v>
      </c>
      <c r="K18" s="39"/>
      <c r="L18" s="11">
        <f t="shared" si="2"/>
        <v>0</v>
      </c>
      <c r="M18" s="39"/>
      <c r="N18" s="11">
        <f t="shared" si="5"/>
        <v>0</v>
      </c>
      <c r="O18" s="21">
        <f t="array" ref="O18">MIN(IF(I123:M123&lt;=0,"",I123:M123))</f>
        <v>0</v>
      </c>
      <c r="P18" s="22">
        <f t="shared" si="6"/>
        <v>0</v>
      </c>
      <c r="Q18" s="21">
        <f t="array" ref="Q18">MIN(IF(B123:F123&lt;=0,"",B123:F123))</f>
        <v>0</v>
      </c>
      <c r="R18" s="22">
        <f t="shared" si="3"/>
        <v>0</v>
      </c>
    </row>
    <row r="19" spans="1:19" ht="17.25" thickBot="1">
      <c r="A19" s="3" t="str">
        <f>IF(B19="","",LARGE($A$7:A18,1)+1)</f>
        <v/>
      </c>
      <c r="B19" s="40"/>
      <c r="C19" s="38"/>
      <c r="D19" s="38"/>
      <c r="E19" s="39"/>
      <c r="F19" s="8">
        <f t="shared" si="0"/>
        <v>0</v>
      </c>
      <c r="G19" s="39"/>
      <c r="H19" s="14">
        <f t="shared" si="4"/>
        <v>0</v>
      </c>
      <c r="I19" s="39"/>
      <c r="J19" s="10">
        <f t="shared" si="1"/>
        <v>0</v>
      </c>
      <c r="K19" s="39"/>
      <c r="L19" s="11">
        <f t="shared" si="2"/>
        <v>0</v>
      </c>
      <c r="M19" s="39"/>
      <c r="N19" s="11">
        <f t="shared" si="5"/>
        <v>0</v>
      </c>
      <c r="O19" s="21">
        <f t="array" ref="O19">MIN(IF(I124:M124&lt;=0,"",I124:M124))</f>
        <v>0</v>
      </c>
      <c r="P19" s="22">
        <f t="shared" si="6"/>
        <v>0</v>
      </c>
      <c r="Q19" s="21">
        <f t="array" ref="Q19">MIN(IF(B124:F124&lt;=0,"",B124:F124))</f>
        <v>0</v>
      </c>
      <c r="R19" s="22">
        <f t="shared" si="3"/>
        <v>0</v>
      </c>
    </row>
    <row r="20" spans="1:19" ht="17.25" thickBot="1">
      <c r="A20" s="3" t="str">
        <f>IF(B20="","",LARGE($A$7:A19,1)+1)</f>
        <v/>
      </c>
      <c r="B20" s="40"/>
      <c r="C20" s="38"/>
      <c r="D20" s="38"/>
      <c r="E20" s="39"/>
      <c r="F20" s="8">
        <f t="shared" si="0"/>
        <v>0</v>
      </c>
      <c r="G20" s="39"/>
      <c r="H20" s="14">
        <f t="shared" si="4"/>
        <v>0</v>
      </c>
      <c r="I20" s="39"/>
      <c r="J20" s="10">
        <f t="shared" si="1"/>
        <v>0</v>
      </c>
      <c r="K20" s="39"/>
      <c r="L20" s="11">
        <f t="shared" si="2"/>
        <v>0</v>
      </c>
      <c r="M20" s="39"/>
      <c r="N20" s="11">
        <f t="shared" si="5"/>
        <v>0</v>
      </c>
      <c r="O20" s="21">
        <f t="array" ref="O20">MIN(IF(I125:M125&lt;=0,"",I125:M125))</f>
        <v>0</v>
      </c>
      <c r="P20" s="22">
        <f t="shared" si="6"/>
        <v>0</v>
      </c>
      <c r="Q20" s="21">
        <f t="array" ref="Q20">MIN(IF(B125:F125&lt;=0,"",B125:F125))</f>
        <v>0</v>
      </c>
      <c r="R20" s="22">
        <f t="shared" si="3"/>
        <v>0</v>
      </c>
      <c r="S20" s="45"/>
    </row>
    <row r="21" spans="1:19" ht="17.25" thickBot="1">
      <c r="A21" s="3" t="str">
        <f>IF(B21="","",LARGE($A$7:A20,1)+1)</f>
        <v/>
      </c>
      <c r="B21" s="40"/>
      <c r="C21" s="38"/>
      <c r="D21" s="38"/>
      <c r="E21" s="39"/>
      <c r="F21" s="8">
        <f t="shared" si="0"/>
        <v>0</v>
      </c>
      <c r="G21" s="39"/>
      <c r="H21" s="14">
        <f t="shared" si="4"/>
        <v>0</v>
      </c>
      <c r="I21" s="39"/>
      <c r="J21" s="10">
        <f t="shared" si="1"/>
        <v>0</v>
      </c>
      <c r="K21" s="39"/>
      <c r="L21" s="11">
        <f t="shared" si="2"/>
        <v>0</v>
      </c>
      <c r="M21" s="39"/>
      <c r="N21" s="11">
        <f t="shared" si="5"/>
        <v>0</v>
      </c>
      <c r="O21" s="21">
        <f t="array" ref="O21">MIN(IF(I126:M126&lt;=0,"",I126:M126))</f>
        <v>0</v>
      </c>
      <c r="P21" s="22">
        <f t="shared" si="6"/>
        <v>0</v>
      </c>
      <c r="Q21" s="21">
        <f t="array" ref="Q21">MIN(IF(B126:F126&lt;=0,"",B126:F126))</f>
        <v>0</v>
      </c>
      <c r="R21" s="22">
        <f t="shared" si="3"/>
        <v>0</v>
      </c>
      <c r="S21" s="45"/>
    </row>
    <row r="22" spans="1:19" ht="17.25" thickBot="1">
      <c r="A22" s="3" t="str">
        <f>IF(B22="","",LARGE($A$7:A21,1)+1)</f>
        <v/>
      </c>
      <c r="B22" s="40"/>
      <c r="C22" s="38"/>
      <c r="D22" s="38"/>
      <c r="E22" s="39"/>
      <c r="F22" s="8">
        <f t="shared" si="0"/>
        <v>0</v>
      </c>
      <c r="G22" s="39"/>
      <c r="H22" s="14">
        <f t="shared" si="4"/>
        <v>0</v>
      </c>
      <c r="I22" s="39"/>
      <c r="J22" s="10">
        <f t="shared" si="1"/>
        <v>0</v>
      </c>
      <c r="K22" s="39"/>
      <c r="L22" s="11">
        <f t="shared" si="2"/>
        <v>0</v>
      </c>
      <c r="M22" s="39"/>
      <c r="N22" s="11">
        <f t="shared" si="5"/>
        <v>0</v>
      </c>
      <c r="O22" s="21">
        <f t="array" ref="O22">MIN(IF(I127:M127&lt;=0,"",I127:M127))</f>
        <v>0</v>
      </c>
      <c r="P22" s="22">
        <f t="shared" si="6"/>
        <v>0</v>
      </c>
      <c r="Q22" s="21">
        <f t="array" ref="Q22">MIN(IF(B127:F127&lt;=0,"",B127:F127))</f>
        <v>0</v>
      </c>
      <c r="R22" s="22">
        <f t="shared" si="3"/>
        <v>0</v>
      </c>
    </row>
    <row r="23" spans="1:19" ht="17.25" thickBot="1">
      <c r="A23" s="3" t="str">
        <f>IF(B23="","",LARGE($A$7:A22,1)+1)</f>
        <v/>
      </c>
      <c r="B23" s="40"/>
      <c r="C23" s="38"/>
      <c r="D23" s="38"/>
      <c r="E23" s="39"/>
      <c r="F23" s="8">
        <f t="shared" si="0"/>
        <v>0</v>
      </c>
      <c r="G23" s="39"/>
      <c r="H23" s="14">
        <f t="shared" si="4"/>
        <v>0</v>
      </c>
      <c r="I23" s="39"/>
      <c r="J23" s="10">
        <f t="shared" si="1"/>
        <v>0</v>
      </c>
      <c r="K23" s="39"/>
      <c r="L23" s="11">
        <f t="shared" si="2"/>
        <v>0</v>
      </c>
      <c r="M23" s="39"/>
      <c r="N23" s="11">
        <f t="shared" si="5"/>
        <v>0</v>
      </c>
      <c r="O23" s="21">
        <f t="array" ref="O23">MIN(IF(I128:M128&lt;=0,"",I128:M128))</f>
        <v>0</v>
      </c>
      <c r="P23" s="22">
        <f t="shared" si="6"/>
        <v>0</v>
      </c>
      <c r="Q23" s="21">
        <f t="array" ref="Q23">MIN(IF(B128:F128&lt;=0,"",B128:F128))</f>
        <v>0</v>
      </c>
      <c r="R23" s="22">
        <f t="shared" si="3"/>
        <v>0</v>
      </c>
    </row>
    <row r="24" spans="1:19" ht="17.25" thickBot="1">
      <c r="A24" s="3" t="str">
        <f>IF(B24="","",LARGE($A$7:A23,1)+1)</f>
        <v/>
      </c>
      <c r="B24" s="40"/>
      <c r="C24" s="38"/>
      <c r="D24" s="38"/>
      <c r="E24" s="39"/>
      <c r="F24" s="8">
        <f t="shared" si="0"/>
        <v>0</v>
      </c>
      <c r="G24" s="39"/>
      <c r="H24" s="14">
        <f t="shared" si="4"/>
        <v>0</v>
      </c>
      <c r="I24" s="39"/>
      <c r="J24" s="10">
        <f t="shared" si="1"/>
        <v>0</v>
      </c>
      <c r="K24" s="39"/>
      <c r="L24" s="11">
        <f t="shared" si="2"/>
        <v>0</v>
      </c>
      <c r="M24" s="39"/>
      <c r="N24" s="11">
        <f t="shared" si="5"/>
        <v>0</v>
      </c>
      <c r="O24" s="21">
        <f t="array" ref="O24">MIN(IF(I129:M129&lt;=0,"",I129:M129))</f>
        <v>0</v>
      </c>
      <c r="P24" s="22">
        <f t="shared" si="6"/>
        <v>0</v>
      </c>
      <c r="Q24" s="21">
        <f t="array" ref="Q24">MIN(IF(B129:F129&lt;=0,"",B129:F129))</f>
        <v>0</v>
      </c>
      <c r="R24" s="22">
        <f t="shared" si="3"/>
        <v>0</v>
      </c>
    </row>
    <row r="25" spans="1:19" ht="17.25" thickBot="1">
      <c r="A25" s="3" t="str">
        <f>IF(B25="","",LARGE($A$7:A24,1)+1)</f>
        <v/>
      </c>
      <c r="B25" s="40"/>
      <c r="C25" s="38"/>
      <c r="D25" s="38"/>
      <c r="E25" s="39"/>
      <c r="F25" s="8">
        <f t="shared" si="0"/>
        <v>0</v>
      </c>
      <c r="G25" s="39"/>
      <c r="H25" s="14">
        <f t="shared" si="4"/>
        <v>0</v>
      </c>
      <c r="I25" s="39"/>
      <c r="J25" s="10">
        <f t="shared" si="1"/>
        <v>0</v>
      </c>
      <c r="K25" s="39"/>
      <c r="L25" s="11">
        <f t="shared" si="2"/>
        <v>0</v>
      </c>
      <c r="M25" s="39"/>
      <c r="N25" s="11">
        <f t="shared" si="5"/>
        <v>0</v>
      </c>
      <c r="O25" s="21">
        <f t="array" ref="O25">MIN(IF(I130:M130&lt;=0,"",I130:M130))</f>
        <v>0</v>
      </c>
      <c r="P25" s="22">
        <f t="shared" si="6"/>
        <v>0</v>
      </c>
      <c r="Q25" s="21">
        <f t="array" ref="Q25">MIN(IF(B130:F130&lt;=0,"",B130:F130))</f>
        <v>0</v>
      </c>
      <c r="R25" s="22">
        <f t="shared" si="3"/>
        <v>0</v>
      </c>
      <c r="S25" s="45"/>
    </row>
    <row r="26" spans="1:19" ht="17.25" thickBot="1">
      <c r="A26" s="3" t="str">
        <f>IF(B26="","",LARGE($A$7:A25,1)+1)</f>
        <v/>
      </c>
      <c r="B26" s="40"/>
      <c r="C26" s="38"/>
      <c r="D26" s="38"/>
      <c r="E26" s="39"/>
      <c r="F26" s="8">
        <f t="shared" si="0"/>
        <v>0</v>
      </c>
      <c r="G26" s="39"/>
      <c r="H26" s="14">
        <f t="shared" si="4"/>
        <v>0</v>
      </c>
      <c r="I26" s="39"/>
      <c r="J26" s="10">
        <f t="shared" si="1"/>
        <v>0</v>
      </c>
      <c r="K26" s="39"/>
      <c r="L26" s="11">
        <f t="shared" si="2"/>
        <v>0</v>
      </c>
      <c r="M26" s="39"/>
      <c r="N26" s="11">
        <f t="shared" si="5"/>
        <v>0</v>
      </c>
      <c r="O26" s="21">
        <f t="array" ref="O26">MIN(IF(I131:M131&lt;=0,"",I131:M131))</f>
        <v>0</v>
      </c>
      <c r="P26" s="22">
        <f t="shared" si="6"/>
        <v>0</v>
      </c>
      <c r="Q26" s="21">
        <f t="array" ref="Q26">MIN(IF(B131:F131&lt;=0,"",B131:F131))</f>
        <v>0</v>
      </c>
      <c r="R26" s="22">
        <f t="shared" si="3"/>
        <v>0</v>
      </c>
      <c r="S26" s="45"/>
    </row>
    <row r="27" spans="1:19" ht="17.25" thickBot="1">
      <c r="A27" s="3" t="str">
        <f>IF(B27="","",LARGE($A$7:A26,1)+1)</f>
        <v/>
      </c>
      <c r="B27" s="40"/>
      <c r="C27" s="38"/>
      <c r="D27" s="38"/>
      <c r="E27" s="39"/>
      <c r="F27" s="8">
        <f t="shared" si="0"/>
        <v>0</v>
      </c>
      <c r="G27" s="39"/>
      <c r="H27" s="14">
        <f t="shared" si="4"/>
        <v>0</v>
      </c>
      <c r="I27" s="39"/>
      <c r="J27" s="10">
        <f t="shared" si="1"/>
        <v>0</v>
      </c>
      <c r="K27" s="39"/>
      <c r="L27" s="11">
        <f t="shared" si="2"/>
        <v>0</v>
      </c>
      <c r="M27" s="39"/>
      <c r="N27" s="11">
        <f t="shared" si="5"/>
        <v>0</v>
      </c>
      <c r="O27" s="21">
        <f t="array" ref="O27">MIN(IF(I132:M132&lt;=0,"",I132:M132))</f>
        <v>0</v>
      </c>
      <c r="P27" s="22">
        <f t="shared" si="6"/>
        <v>0</v>
      </c>
      <c r="Q27" s="21">
        <f t="array" ref="Q27">MIN(IF(B132:F132&lt;=0,"",B132:F132))</f>
        <v>0</v>
      </c>
      <c r="R27" s="22">
        <f t="shared" si="3"/>
        <v>0</v>
      </c>
    </row>
    <row r="28" spans="1:19" ht="17.25" thickBot="1">
      <c r="A28" s="3" t="str">
        <f>IF(B28="","",LARGE($A$7:A27,1)+1)</f>
        <v/>
      </c>
      <c r="B28" s="40"/>
      <c r="C28" s="38"/>
      <c r="D28" s="38"/>
      <c r="E28" s="39"/>
      <c r="F28" s="8">
        <f t="shared" si="0"/>
        <v>0</v>
      </c>
      <c r="G28" s="39"/>
      <c r="H28" s="14">
        <f t="shared" si="4"/>
        <v>0</v>
      </c>
      <c r="I28" s="39"/>
      <c r="J28" s="10">
        <f t="shared" si="1"/>
        <v>0</v>
      </c>
      <c r="K28" s="39"/>
      <c r="L28" s="11">
        <f t="shared" si="2"/>
        <v>0</v>
      </c>
      <c r="M28" s="39"/>
      <c r="N28" s="11">
        <f t="shared" si="5"/>
        <v>0</v>
      </c>
      <c r="O28" s="21">
        <f t="array" ref="O28">MIN(IF(I133:M133&lt;=0,"",I133:M133))</f>
        <v>0</v>
      </c>
      <c r="P28" s="22">
        <f t="shared" si="6"/>
        <v>0</v>
      </c>
      <c r="Q28" s="21">
        <f t="array" ref="Q28">MIN(IF(B133:F133&lt;=0,"",B133:F133))</f>
        <v>0</v>
      </c>
      <c r="R28" s="22">
        <f t="shared" si="3"/>
        <v>0</v>
      </c>
    </row>
    <row r="29" spans="1:19" ht="17.25" thickBot="1">
      <c r="A29" s="3" t="str">
        <f>IF(B29="","",LARGE($A$7:A28,1)+1)</f>
        <v/>
      </c>
      <c r="B29" s="41"/>
      <c r="C29" s="38"/>
      <c r="D29" s="38"/>
      <c r="E29" s="39"/>
      <c r="F29" s="8">
        <f t="shared" si="0"/>
        <v>0</v>
      </c>
      <c r="G29" s="39"/>
      <c r="H29" s="14">
        <f t="shared" si="4"/>
        <v>0</v>
      </c>
      <c r="I29" s="39"/>
      <c r="J29" s="10">
        <f t="shared" si="1"/>
        <v>0</v>
      </c>
      <c r="K29" s="39"/>
      <c r="L29" s="11">
        <f t="shared" si="2"/>
        <v>0</v>
      </c>
      <c r="M29" s="39"/>
      <c r="N29" s="11">
        <f t="shared" si="5"/>
        <v>0</v>
      </c>
      <c r="O29" s="21">
        <f t="array" ref="O29">MIN(IF(I134:M134&lt;=0,"",I134:M134))</f>
        <v>0</v>
      </c>
      <c r="P29" s="22">
        <f t="shared" si="6"/>
        <v>0</v>
      </c>
      <c r="Q29" s="21">
        <f t="array" ref="Q29">MIN(IF(B134:F134&lt;=0,"",B134:F134))</f>
        <v>0</v>
      </c>
      <c r="R29" s="22">
        <f t="shared" si="3"/>
        <v>0</v>
      </c>
    </row>
    <row r="30" spans="1:19" ht="17.25" thickBot="1">
      <c r="A30" s="3" t="str">
        <f>IF(B30="","",LARGE($A$7:A29,1)+1)</f>
        <v/>
      </c>
      <c r="B30" s="42"/>
      <c r="C30" s="38"/>
      <c r="D30" s="38"/>
      <c r="E30" s="39"/>
      <c r="F30" s="8">
        <f t="shared" si="0"/>
        <v>0</v>
      </c>
      <c r="G30" s="39"/>
      <c r="H30" s="14">
        <f t="shared" si="4"/>
        <v>0</v>
      </c>
      <c r="I30" s="39"/>
      <c r="J30" s="10">
        <f t="shared" si="1"/>
        <v>0</v>
      </c>
      <c r="K30" s="39"/>
      <c r="L30" s="11">
        <f t="shared" si="2"/>
        <v>0</v>
      </c>
      <c r="M30" s="39"/>
      <c r="N30" s="11">
        <f t="shared" si="5"/>
        <v>0</v>
      </c>
      <c r="O30" s="21">
        <f t="array" ref="O30">MIN(IF(I135:M135&lt;=0,"",I135:M135))</f>
        <v>0</v>
      </c>
      <c r="P30" s="22">
        <f t="shared" si="6"/>
        <v>0</v>
      </c>
      <c r="Q30" s="21">
        <f t="array" ref="Q30">MIN(IF(B135:F135&lt;=0,"",B135:F135))</f>
        <v>0</v>
      </c>
      <c r="R30" s="22">
        <f t="shared" si="3"/>
        <v>0</v>
      </c>
      <c r="S30" s="45"/>
    </row>
    <row r="31" spans="1:19" ht="17.25" thickBot="1">
      <c r="A31" s="3" t="str">
        <f>IF(B31="","",LARGE($A$7:A30,1)+1)</f>
        <v/>
      </c>
      <c r="B31" s="42"/>
      <c r="C31" s="38"/>
      <c r="D31" s="38"/>
      <c r="E31" s="39"/>
      <c r="F31" s="8">
        <f t="shared" si="0"/>
        <v>0</v>
      </c>
      <c r="G31" s="39"/>
      <c r="H31" s="14">
        <f t="shared" si="4"/>
        <v>0</v>
      </c>
      <c r="I31" s="39"/>
      <c r="J31" s="10">
        <f t="shared" si="1"/>
        <v>0</v>
      </c>
      <c r="K31" s="39"/>
      <c r="L31" s="11">
        <f t="shared" si="2"/>
        <v>0</v>
      </c>
      <c r="M31" s="39"/>
      <c r="N31" s="11">
        <f t="shared" si="5"/>
        <v>0</v>
      </c>
      <c r="O31" s="21">
        <f t="array" ref="O31">MIN(IF(I136:M136&lt;=0,"",I136:M136))</f>
        <v>0</v>
      </c>
      <c r="P31" s="22">
        <f t="shared" si="6"/>
        <v>0</v>
      </c>
      <c r="Q31" s="21">
        <f t="array" ref="Q31">MIN(IF(B136:F136&lt;=0,"",B136:F136))</f>
        <v>0</v>
      </c>
      <c r="R31" s="22">
        <f t="shared" si="3"/>
        <v>0</v>
      </c>
      <c r="S31" s="45"/>
    </row>
    <row r="32" spans="1:19" ht="17.25" thickBot="1">
      <c r="A32" s="3" t="str">
        <f>IF(B32="","",LARGE($A$7:A31,1)+1)</f>
        <v/>
      </c>
      <c r="B32" s="42"/>
      <c r="C32" s="38"/>
      <c r="D32" s="38"/>
      <c r="E32" s="39"/>
      <c r="F32" s="8">
        <f t="shared" si="0"/>
        <v>0</v>
      </c>
      <c r="G32" s="39"/>
      <c r="H32" s="14">
        <f t="shared" si="4"/>
        <v>0</v>
      </c>
      <c r="I32" s="39"/>
      <c r="J32" s="10">
        <f t="shared" si="1"/>
        <v>0</v>
      </c>
      <c r="K32" s="39"/>
      <c r="L32" s="11">
        <f t="shared" si="2"/>
        <v>0</v>
      </c>
      <c r="M32" s="39"/>
      <c r="N32" s="11">
        <f t="shared" si="5"/>
        <v>0</v>
      </c>
      <c r="O32" s="21">
        <f t="array" ref="O32">MIN(IF(I137:M137&lt;=0,"",I137:M137))</f>
        <v>0</v>
      </c>
      <c r="P32" s="22">
        <f t="shared" si="6"/>
        <v>0</v>
      </c>
      <c r="Q32" s="21">
        <f t="array" ref="Q32">MIN(IF(B137:F137&lt;=0,"",B137:F137))</f>
        <v>0</v>
      </c>
      <c r="R32" s="22">
        <f t="shared" si="3"/>
        <v>0</v>
      </c>
    </row>
    <row r="33" spans="1:19" ht="17.25" thickBot="1">
      <c r="A33" s="3" t="str">
        <f>IF(B33="","",LARGE($A$7:A32,1)+1)</f>
        <v/>
      </c>
      <c r="B33" s="42"/>
      <c r="C33" s="38"/>
      <c r="D33" s="38"/>
      <c r="E33" s="39"/>
      <c r="F33" s="8">
        <f t="shared" si="0"/>
        <v>0</v>
      </c>
      <c r="G33" s="39"/>
      <c r="H33" s="14">
        <f t="shared" si="4"/>
        <v>0</v>
      </c>
      <c r="I33" s="39"/>
      <c r="J33" s="10">
        <f t="shared" si="1"/>
        <v>0</v>
      </c>
      <c r="K33" s="39"/>
      <c r="L33" s="11">
        <f t="shared" si="2"/>
        <v>0</v>
      </c>
      <c r="M33" s="39"/>
      <c r="N33" s="11">
        <f t="shared" si="5"/>
        <v>0</v>
      </c>
      <c r="O33" s="21">
        <f t="array" ref="O33">MIN(IF(I138:M138&lt;=0,"",I138:M138))</f>
        <v>0</v>
      </c>
      <c r="P33" s="22">
        <f t="shared" si="6"/>
        <v>0</v>
      </c>
      <c r="Q33" s="21">
        <f t="array" ref="Q33">MIN(IF(B138:F138&lt;=0,"",B138:F138))</f>
        <v>0</v>
      </c>
      <c r="R33" s="22">
        <f t="shared" si="3"/>
        <v>0</v>
      </c>
    </row>
    <row r="34" spans="1:19" ht="17.25" thickBot="1">
      <c r="A34" s="3" t="str">
        <f>IF(B34="","",LARGE($A$7:A33,1)+1)</f>
        <v/>
      </c>
      <c r="B34" s="42"/>
      <c r="C34" s="38"/>
      <c r="D34" s="38"/>
      <c r="E34" s="39"/>
      <c r="F34" s="8">
        <f t="shared" si="0"/>
        <v>0</v>
      </c>
      <c r="G34" s="39"/>
      <c r="H34" s="14">
        <f t="shared" si="4"/>
        <v>0</v>
      </c>
      <c r="I34" s="39"/>
      <c r="J34" s="10">
        <f t="shared" si="1"/>
        <v>0</v>
      </c>
      <c r="K34" s="39"/>
      <c r="L34" s="11">
        <f t="shared" si="2"/>
        <v>0</v>
      </c>
      <c r="M34" s="39"/>
      <c r="N34" s="11">
        <f t="shared" si="5"/>
        <v>0</v>
      </c>
      <c r="O34" s="21">
        <f t="array" ref="O34">MIN(IF(I139:M139&lt;=0,"",I139:M139))</f>
        <v>0</v>
      </c>
      <c r="P34" s="22">
        <f t="shared" si="6"/>
        <v>0</v>
      </c>
      <c r="Q34" s="21">
        <f t="array" ref="Q34">MIN(IF(B139:F139&lt;=0,"",B139:F139))</f>
        <v>0</v>
      </c>
      <c r="R34" s="22">
        <f t="shared" si="3"/>
        <v>0</v>
      </c>
    </row>
    <row r="35" spans="1:19" ht="17.25" thickBot="1">
      <c r="A35" s="3" t="str">
        <f>IF(B35="","",LARGE($A$7:A34,1)+1)</f>
        <v/>
      </c>
      <c r="B35" s="42"/>
      <c r="C35" s="38"/>
      <c r="D35" s="38"/>
      <c r="E35" s="39"/>
      <c r="F35" s="8">
        <f t="shared" si="0"/>
        <v>0</v>
      </c>
      <c r="G35" s="39"/>
      <c r="H35" s="14">
        <f t="shared" si="4"/>
        <v>0</v>
      </c>
      <c r="I35" s="39"/>
      <c r="J35" s="10">
        <f t="shared" si="1"/>
        <v>0</v>
      </c>
      <c r="K35" s="39"/>
      <c r="L35" s="11">
        <f t="shared" si="2"/>
        <v>0</v>
      </c>
      <c r="M35" s="39"/>
      <c r="N35" s="11">
        <f t="shared" si="5"/>
        <v>0</v>
      </c>
      <c r="O35" s="21">
        <f t="array" ref="O35">MIN(IF(I140:M140&lt;=0,"",I140:M140))</f>
        <v>0</v>
      </c>
      <c r="P35" s="22">
        <f t="shared" si="6"/>
        <v>0</v>
      </c>
      <c r="Q35" s="21">
        <f t="array" ref="Q35">MIN(IF(B140:F140&lt;=0,"",B140:F140))</f>
        <v>0</v>
      </c>
      <c r="R35" s="22">
        <f t="shared" si="3"/>
        <v>0</v>
      </c>
      <c r="S35" s="45"/>
    </row>
    <row r="36" spans="1:19" ht="17.25" thickBot="1">
      <c r="A36" s="3" t="str">
        <f>IF(B36="","",LARGE($A$7:A35,1)+1)</f>
        <v/>
      </c>
      <c r="B36" s="42"/>
      <c r="C36" s="38"/>
      <c r="D36" s="38"/>
      <c r="E36" s="39"/>
      <c r="F36" s="8">
        <f t="shared" si="0"/>
        <v>0</v>
      </c>
      <c r="G36" s="39"/>
      <c r="H36" s="14">
        <f t="shared" si="4"/>
        <v>0</v>
      </c>
      <c r="I36" s="39"/>
      <c r="J36" s="10">
        <f t="shared" si="1"/>
        <v>0</v>
      </c>
      <c r="K36" s="39"/>
      <c r="L36" s="11">
        <f t="shared" si="2"/>
        <v>0</v>
      </c>
      <c r="M36" s="39"/>
      <c r="N36" s="11">
        <f t="shared" si="5"/>
        <v>0</v>
      </c>
      <c r="O36" s="21">
        <f t="array" ref="O36">MIN(IF(I141:M141&lt;=0,"",I141:M141))</f>
        <v>0</v>
      </c>
      <c r="P36" s="22">
        <f t="shared" si="6"/>
        <v>0</v>
      </c>
      <c r="Q36" s="21">
        <f t="array" ref="Q36">MIN(IF(B141:F141&lt;=0,"",B141:F141))</f>
        <v>0</v>
      </c>
      <c r="R36" s="22">
        <f t="shared" si="3"/>
        <v>0</v>
      </c>
      <c r="S36" s="45"/>
    </row>
    <row r="37" spans="1:19" ht="17.25" thickBot="1">
      <c r="A37" s="3" t="str">
        <f>IF(B37="","",LARGE($A$7:A36,1)+1)</f>
        <v/>
      </c>
      <c r="B37" s="42"/>
      <c r="C37" s="38"/>
      <c r="D37" s="38"/>
      <c r="E37" s="39"/>
      <c r="F37" s="8">
        <f t="shared" si="0"/>
        <v>0</v>
      </c>
      <c r="G37" s="39"/>
      <c r="H37" s="14">
        <f t="shared" si="4"/>
        <v>0</v>
      </c>
      <c r="I37" s="39"/>
      <c r="J37" s="10">
        <f t="shared" si="1"/>
        <v>0</v>
      </c>
      <c r="K37" s="39"/>
      <c r="L37" s="11">
        <f t="shared" si="2"/>
        <v>0</v>
      </c>
      <c r="M37" s="39"/>
      <c r="N37" s="11">
        <f t="shared" si="5"/>
        <v>0</v>
      </c>
      <c r="O37" s="21">
        <f t="array" ref="O37">MIN(IF(I142:M142&lt;=0,"",I142:M142))</f>
        <v>0</v>
      </c>
      <c r="P37" s="22">
        <f t="shared" si="6"/>
        <v>0</v>
      </c>
      <c r="Q37" s="21">
        <f t="array" ref="Q37">MIN(IF(B142:F142&lt;=0,"",B142:F142))</f>
        <v>0</v>
      </c>
      <c r="R37" s="22">
        <f t="shared" si="3"/>
        <v>0</v>
      </c>
    </row>
    <row r="38" spans="1:19" ht="17.25" thickBot="1">
      <c r="A38" s="3" t="str">
        <f>IF(B38="","",LARGE($A$7:A37,1)+1)</f>
        <v/>
      </c>
      <c r="B38" s="42"/>
      <c r="C38" s="38"/>
      <c r="D38" s="38"/>
      <c r="E38" s="39"/>
      <c r="F38" s="8">
        <f t="shared" si="0"/>
        <v>0</v>
      </c>
      <c r="G38" s="39"/>
      <c r="H38" s="14">
        <f t="shared" si="4"/>
        <v>0</v>
      </c>
      <c r="I38" s="39"/>
      <c r="J38" s="10">
        <f t="shared" si="1"/>
        <v>0</v>
      </c>
      <c r="K38" s="39"/>
      <c r="L38" s="11">
        <f t="shared" si="2"/>
        <v>0</v>
      </c>
      <c r="M38" s="39"/>
      <c r="N38" s="11">
        <f t="shared" si="5"/>
        <v>0</v>
      </c>
      <c r="O38" s="21">
        <f t="array" ref="O38">MIN(IF(I143:M143&lt;=0,"",I143:M143))</f>
        <v>0</v>
      </c>
      <c r="P38" s="22">
        <f t="shared" si="6"/>
        <v>0</v>
      </c>
      <c r="Q38" s="21">
        <f t="array" ref="Q38">MIN(IF(B143:F143&lt;=0,"",B143:F143))</f>
        <v>0</v>
      </c>
      <c r="R38" s="22">
        <f t="shared" si="3"/>
        <v>0</v>
      </c>
    </row>
    <row r="39" spans="1:19" ht="17.25" thickBot="1">
      <c r="A39" s="3" t="str">
        <f>IF(B39="","",LARGE($A$7:A38,1)+1)</f>
        <v/>
      </c>
      <c r="B39" s="42"/>
      <c r="C39" s="38"/>
      <c r="D39" s="38"/>
      <c r="E39" s="39"/>
      <c r="F39" s="8">
        <f t="shared" si="0"/>
        <v>0</v>
      </c>
      <c r="G39" s="39"/>
      <c r="H39" s="14">
        <f t="shared" si="4"/>
        <v>0</v>
      </c>
      <c r="I39" s="39"/>
      <c r="J39" s="10">
        <f t="shared" si="1"/>
        <v>0</v>
      </c>
      <c r="K39" s="39"/>
      <c r="L39" s="11">
        <f t="shared" si="2"/>
        <v>0</v>
      </c>
      <c r="M39" s="39"/>
      <c r="N39" s="11">
        <f t="shared" si="5"/>
        <v>0</v>
      </c>
      <c r="O39" s="21">
        <f t="array" ref="O39">MIN(IF(I144:M144&lt;=0,"",I144:M144))</f>
        <v>0</v>
      </c>
      <c r="P39" s="22">
        <f t="shared" si="6"/>
        <v>0</v>
      </c>
      <c r="Q39" s="21">
        <f t="array" ref="Q39">MIN(IF(B144:F144&lt;=0,"",B144:F144))</f>
        <v>0</v>
      </c>
      <c r="R39" s="22">
        <f t="shared" si="3"/>
        <v>0</v>
      </c>
    </row>
    <row r="40" spans="1:19" ht="17.25" thickBot="1">
      <c r="A40" s="3" t="str">
        <f>IF(B40="","",LARGE($A$7:A39,1)+1)</f>
        <v/>
      </c>
      <c r="B40" s="42"/>
      <c r="C40" s="38"/>
      <c r="D40" s="38"/>
      <c r="E40" s="39"/>
      <c r="F40" s="8">
        <f t="shared" si="0"/>
        <v>0</v>
      </c>
      <c r="G40" s="39"/>
      <c r="H40" s="14">
        <f t="shared" si="4"/>
        <v>0</v>
      </c>
      <c r="I40" s="39"/>
      <c r="J40" s="10">
        <f t="shared" si="1"/>
        <v>0</v>
      </c>
      <c r="K40" s="39"/>
      <c r="L40" s="11">
        <f t="shared" si="2"/>
        <v>0</v>
      </c>
      <c r="M40" s="39"/>
      <c r="N40" s="11">
        <f t="shared" si="5"/>
        <v>0</v>
      </c>
      <c r="O40" s="21">
        <f t="array" ref="O40">MIN(IF(I145:M145&lt;=0,"",I145:M145))</f>
        <v>0</v>
      </c>
      <c r="P40" s="22">
        <f t="shared" si="6"/>
        <v>0</v>
      </c>
      <c r="Q40" s="21">
        <f t="array" ref="Q40">MIN(IF(B145:F145&lt;=0,"",B145:F145))</f>
        <v>0</v>
      </c>
      <c r="R40" s="22">
        <f t="shared" si="3"/>
        <v>0</v>
      </c>
      <c r="S40" s="45"/>
    </row>
    <row r="41" spans="1:19" ht="17.25" thickBot="1">
      <c r="A41" s="3" t="str">
        <f>IF(B41="","",LARGE($A$7:A40,1)+1)</f>
        <v/>
      </c>
      <c r="B41" s="42"/>
      <c r="C41" s="38"/>
      <c r="D41" s="38"/>
      <c r="E41" s="39"/>
      <c r="F41" s="8">
        <f t="shared" si="0"/>
        <v>0</v>
      </c>
      <c r="G41" s="39"/>
      <c r="H41" s="14">
        <f t="shared" si="4"/>
        <v>0</v>
      </c>
      <c r="I41" s="39"/>
      <c r="J41" s="10">
        <f t="shared" si="1"/>
        <v>0</v>
      </c>
      <c r="K41" s="39"/>
      <c r="L41" s="11">
        <f t="shared" si="2"/>
        <v>0</v>
      </c>
      <c r="M41" s="39"/>
      <c r="N41" s="11">
        <f t="shared" si="5"/>
        <v>0</v>
      </c>
      <c r="O41" s="21">
        <f t="array" ref="O41">MIN(IF(I146:M146&lt;=0,"",I146:M146))</f>
        <v>0</v>
      </c>
      <c r="P41" s="22">
        <f t="shared" si="6"/>
        <v>0</v>
      </c>
      <c r="Q41" s="21">
        <f t="array" ref="Q41">MIN(IF(B146:F146&lt;=0,"",B146:F146))</f>
        <v>0</v>
      </c>
      <c r="R41" s="22">
        <f t="shared" si="3"/>
        <v>0</v>
      </c>
      <c r="S41" s="45"/>
    </row>
    <row r="42" spans="1:19" ht="17.25" thickBot="1">
      <c r="A42" s="3" t="str">
        <f>IF(B42="","",LARGE($A$7:A41,1)+1)</f>
        <v/>
      </c>
      <c r="B42" s="42"/>
      <c r="C42" s="38"/>
      <c r="D42" s="38"/>
      <c r="E42" s="39"/>
      <c r="F42" s="8">
        <f t="shared" si="0"/>
        <v>0</v>
      </c>
      <c r="G42" s="39"/>
      <c r="H42" s="14">
        <f t="shared" si="4"/>
        <v>0</v>
      </c>
      <c r="I42" s="39"/>
      <c r="J42" s="10">
        <f t="shared" si="1"/>
        <v>0</v>
      </c>
      <c r="K42" s="39"/>
      <c r="L42" s="11">
        <f t="shared" si="2"/>
        <v>0</v>
      </c>
      <c r="M42" s="39"/>
      <c r="N42" s="11">
        <f t="shared" si="5"/>
        <v>0</v>
      </c>
      <c r="O42" s="21">
        <f t="array" ref="O42">MIN(IF(I147:M147&lt;=0,"",I147:M147))</f>
        <v>0</v>
      </c>
      <c r="P42" s="22">
        <f t="shared" si="6"/>
        <v>0</v>
      </c>
      <c r="Q42" s="21">
        <f t="array" ref="Q42">MIN(IF(B147:F147&lt;=0,"",B147:F147))</f>
        <v>0</v>
      </c>
      <c r="R42" s="22">
        <f t="shared" si="3"/>
        <v>0</v>
      </c>
    </row>
    <row r="43" spans="1:19" ht="17.25" thickBot="1">
      <c r="A43" s="3" t="str">
        <f>IF(B43="","",LARGE($A$7:A42,1)+1)</f>
        <v/>
      </c>
      <c r="B43" s="42"/>
      <c r="C43" s="38"/>
      <c r="D43" s="38"/>
      <c r="E43" s="39"/>
      <c r="F43" s="8">
        <f t="shared" si="0"/>
        <v>0</v>
      </c>
      <c r="G43" s="39"/>
      <c r="H43" s="14">
        <f t="shared" si="4"/>
        <v>0</v>
      </c>
      <c r="I43" s="39"/>
      <c r="J43" s="10">
        <f t="shared" si="1"/>
        <v>0</v>
      </c>
      <c r="K43" s="39"/>
      <c r="L43" s="11">
        <f t="shared" si="2"/>
        <v>0</v>
      </c>
      <c r="M43" s="39"/>
      <c r="N43" s="11">
        <f t="shared" si="5"/>
        <v>0</v>
      </c>
      <c r="O43" s="21">
        <f t="array" ref="O43">MIN(IF(I148:M148&lt;=0,"",I148:M148))</f>
        <v>0</v>
      </c>
      <c r="P43" s="22">
        <f t="shared" si="6"/>
        <v>0</v>
      </c>
      <c r="Q43" s="21">
        <f t="array" ref="Q43">MIN(IF(B148:F148&lt;=0,"",B148:F148))</f>
        <v>0</v>
      </c>
      <c r="R43" s="22">
        <f t="shared" si="3"/>
        <v>0</v>
      </c>
    </row>
    <row r="44" spans="1:19" ht="17.25" thickBot="1">
      <c r="A44" s="3" t="str">
        <f>IF(B44="","",LARGE($A$7:A43,1)+1)</f>
        <v/>
      </c>
      <c r="B44" s="42"/>
      <c r="C44" s="38"/>
      <c r="D44" s="38"/>
      <c r="E44" s="39"/>
      <c r="F44" s="8">
        <f t="shared" si="0"/>
        <v>0</v>
      </c>
      <c r="G44" s="39"/>
      <c r="H44" s="14">
        <f t="shared" si="4"/>
        <v>0</v>
      </c>
      <c r="I44" s="39"/>
      <c r="J44" s="10">
        <f t="shared" si="1"/>
        <v>0</v>
      </c>
      <c r="K44" s="39"/>
      <c r="L44" s="11">
        <f t="shared" si="2"/>
        <v>0</v>
      </c>
      <c r="M44" s="39"/>
      <c r="N44" s="11">
        <f t="shared" si="5"/>
        <v>0</v>
      </c>
      <c r="O44" s="21">
        <f t="array" ref="O44">MIN(IF(I149:M149&lt;=0,"",I149:M149))</f>
        <v>0</v>
      </c>
      <c r="P44" s="22">
        <f t="shared" si="6"/>
        <v>0</v>
      </c>
      <c r="Q44" s="21">
        <f t="array" ref="Q44">MIN(IF(B149:F149&lt;=0,"",B149:F149))</f>
        <v>0</v>
      </c>
      <c r="R44" s="22">
        <f t="shared" si="3"/>
        <v>0</v>
      </c>
    </row>
    <row r="45" spans="1:19" ht="17.25" thickBot="1">
      <c r="A45" s="3" t="str">
        <f>IF(B45="","",LARGE($A$7:A44,1)+1)</f>
        <v/>
      </c>
      <c r="B45" s="42"/>
      <c r="C45" s="38"/>
      <c r="D45" s="38"/>
      <c r="E45" s="39"/>
      <c r="F45" s="8">
        <f t="shared" si="0"/>
        <v>0</v>
      </c>
      <c r="G45" s="39"/>
      <c r="H45" s="14">
        <f t="shared" si="4"/>
        <v>0</v>
      </c>
      <c r="I45" s="39"/>
      <c r="J45" s="10">
        <f t="shared" si="1"/>
        <v>0</v>
      </c>
      <c r="K45" s="39"/>
      <c r="L45" s="11">
        <f t="shared" si="2"/>
        <v>0</v>
      </c>
      <c r="M45" s="39"/>
      <c r="N45" s="11">
        <f t="shared" si="5"/>
        <v>0</v>
      </c>
      <c r="O45" s="21">
        <f t="array" ref="O45">MIN(IF(I150:M150&lt;=0,"",I150:M150))</f>
        <v>0</v>
      </c>
      <c r="P45" s="22">
        <f t="shared" si="6"/>
        <v>0</v>
      </c>
      <c r="Q45" s="21">
        <f t="array" ref="Q45">MIN(IF(B150:F150&lt;=0,"",B150:F150))</f>
        <v>0</v>
      </c>
      <c r="R45" s="22">
        <f t="shared" si="3"/>
        <v>0</v>
      </c>
      <c r="S45" s="45"/>
    </row>
    <row r="46" spans="1:19" ht="17.25" thickBot="1">
      <c r="A46" s="3" t="str">
        <f>IF(B46="","",LARGE($A$7:A45,1)+1)</f>
        <v/>
      </c>
      <c r="B46" s="42"/>
      <c r="C46" s="38"/>
      <c r="D46" s="38"/>
      <c r="E46" s="39"/>
      <c r="F46" s="8">
        <f t="shared" si="0"/>
        <v>0</v>
      </c>
      <c r="G46" s="39"/>
      <c r="H46" s="14">
        <f t="shared" si="4"/>
        <v>0</v>
      </c>
      <c r="I46" s="39"/>
      <c r="J46" s="10">
        <f t="shared" si="1"/>
        <v>0</v>
      </c>
      <c r="K46" s="39"/>
      <c r="L46" s="11">
        <f t="shared" si="2"/>
        <v>0</v>
      </c>
      <c r="M46" s="39"/>
      <c r="N46" s="11">
        <f t="shared" si="5"/>
        <v>0</v>
      </c>
      <c r="O46" s="21">
        <f t="array" ref="O46">MIN(IF(I151:M151&lt;=0,"",I151:M151))</f>
        <v>0</v>
      </c>
      <c r="P46" s="22">
        <f t="shared" si="6"/>
        <v>0</v>
      </c>
      <c r="Q46" s="21">
        <f t="array" ref="Q46">MIN(IF(B151:F151&lt;=0,"",B151:F151))</f>
        <v>0</v>
      </c>
      <c r="R46" s="22">
        <f t="shared" si="3"/>
        <v>0</v>
      </c>
      <c r="S46" s="45"/>
    </row>
    <row r="47" spans="1:19" ht="17.25" thickBot="1">
      <c r="A47" s="3" t="str">
        <f>IF(B47="","",LARGE($A$7:A46,1)+1)</f>
        <v/>
      </c>
      <c r="B47" s="42"/>
      <c r="C47" s="38"/>
      <c r="D47" s="38"/>
      <c r="E47" s="39"/>
      <c r="F47" s="8">
        <f t="shared" si="0"/>
        <v>0</v>
      </c>
      <c r="G47" s="39"/>
      <c r="H47" s="14">
        <f t="shared" si="4"/>
        <v>0</v>
      </c>
      <c r="I47" s="39"/>
      <c r="J47" s="10">
        <f t="shared" si="1"/>
        <v>0</v>
      </c>
      <c r="K47" s="39"/>
      <c r="L47" s="11">
        <f t="shared" si="2"/>
        <v>0</v>
      </c>
      <c r="M47" s="39"/>
      <c r="N47" s="11">
        <f t="shared" si="5"/>
        <v>0</v>
      </c>
      <c r="O47" s="21">
        <f t="array" ref="O47">MIN(IF(I152:M152&lt;=0,"",I152:M152))</f>
        <v>0</v>
      </c>
      <c r="P47" s="22">
        <f t="shared" si="6"/>
        <v>0</v>
      </c>
      <c r="Q47" s="21">
        <f t="array" ref="Q47">MIN(IF(B152:F152&lt;=0,"",B152:F152))</f>
        <v>0</v>
      </c>
      <c r="R47" s="22">
        <f t="shared" si="3"/>
        <v>0</v>
      </c>
    </row>
    <row r="48" spans="1:19" ht="17.25" thickBot="1">
      <c r="A48" s="3" t="str">
        <f>IF(B48="","",LARGE($A$7:A47,1)+1)</f>
        <v/>
      </c>
      <c r="B48" s="42"/>
      <c r="C48" s="38"/>
      <c r="D48" s="38"/>
      <c r="E48" s="39"/>
      <c r="F48" s="8">
        <f t="shared" si="0"/>
        <v>0</v>
      </c>
      <c r="G48" s="39"/>
      <c r="H48" s="14">
        <f t="shared" si="4"/>
        <v>0</v>
      </c>
      <c r="I48" s="39"/>
      <c r="J48" s="10">
        <f t="shared" si="1"/>
        <v>0</v>
      </c>
      <c r="K48" s="39"/>
      <c r="L48" s="11">
        <f t="shared" si="2"/>
        <v>0</v>
      </c>
      <c r="M48" s="39"/>
      <c r="N48" s="11">
        <f t="shared" si="5"/>
        <v>0</v>
      </c>
      <c r="O48" s="21">
        <f t="array" ref="O48">MIN(IF(I153:M153&lt;=0,"",I153:M153))</f>
        <v>0</v>
      </c>
      <c r="P48" s="22">
        <f t="shared" si="6"/>
        <v>0</v>
      </c>
      <c r="Q48" s="21">
        <f t="array" ref="Q48">MIN(IF(B153:F153&lt;=0,"",B153:F153))</f>
        <v>0</v>
      </c>
      <c r="R48" s="22">
        <f t="shared" si="3"/>
        <v>0</v>
      </c>
    </row>
    <row r="49" spans="1:19" ht="17.25" thickBot="1">
      <c r="A49" s="3" t="str">
        <f>IF(B49="","",LARGE($A$7:A48,1)+1)</f>
        <v/>
      </c>
      <c r="B49" s="42"/>
      <c r="C49" s="38"/>
      <c r="D49" s="38"/>
      <c r="E49" s="39"/>
      <c r="F49" s="8">
        <f t="shared" si="0"/>
        <v>0</v>
      </c>
      <c r="G49" s="39"/>
      <c r="H49" s="14">
        <f t="shared" si="4"/>
        <v>0</v>
      </c>
      <c r="I49" s="39"/>
      <c r="J49" s="10">
        <f t="shared" si="1"/>
        <v>0</v>
      </c>
      <c r="K49" s="39"/>
      <c r="L49" s="11">
        <f t="shared" si="2"/>
        <v>0</v>
      </c>
      <c r="M49" s="39"/>
      <c r="N49" s="11">
        <f t="shared" si="5"/>
        <v>0</v>
      </c>
      <c r="O49" s="21">
        <f t="array" ref="O49">MIN(IF(I154:M154&lt;=0,"",I154:M154))</f>
        <v>0</v>
      </c>
      <c r="P49" s="22">
        <f t="shared" si="6"/>
        <v>0</v>
      </c>
      <c r="Q49" s="21">
        <f t="array" ref="Q49">MIN(IF(B154:F154&lt;=0,"",B154:F154))</f>
        <v>0</v>
      </c>
      <c r="R49" s="22">
        <f t="shared" si="3"/>
        <v>0</v>
      </c>
    </row>
    <row r="50" spans="1:19" ht="17.25" thickBot="1">
      <c r="A50" s="3" t="str">
        <f>IF(B50="","",LARGE($A$7:A49,1)+1)</f>
        <v/>
      </c>
      <c r="B50" s="42"/>
      <c r="C50" s="38"/>
      <c r="D50" s="38"/>
      <c r="E50" s="39"/>
      <c r="F50" s="8">
        <f t="shared" si="0"/>
        <v>0</v>
      </c>
      <c r="G50" s="39"/>
      <c r="H50" s="14">
        <f t="shared" si="4"/>
        <v>0</v>
      </c>
      <c r="I50" s="39"/>
      <c r="J50" s="10">
        <f t="shared" si="1"/>
        <v>0</v>
      </c>
      <c r="K50" s="39"/>
      <c r="L50" s="11">
        <f t="shared" si="2"/>
        <v>0</v>
      </c>
      <c r="M50" s="39"/>
      <c r="N50" s="11">
        <f t="shared" si="5"/>
        <v>0</v>
      </c>
      <c r="O50" s="21">
        <f t="array" ref="O50">MIN(IF(I155:M155&lt;=0,"",I155:M155))</f>
        <v>0</v>
      </c>
      <c r="P50" s="22">
        <f t="shared" si="6"/>
        <v>0</v>
      </c>
      <c r="Q50" s="21">
        <f t="array" ref="Q50">MIN(IF(B155:F155&lt;=0,"",B155:F155))</f>
        <v>0</v>
      </c>
      <c r="R50" s="22">
        <f t="shared" si="3"/>
        <v>0</v>
      </c>
      <c r="S50" s="45"/>
    </row>
    <row r="51" spans="1:19" ht="17.25" thickBot="1">
      <c r="A51" s="3" t="str">
        <f>IF(B51="","",LARGE($A$7:A50,1)+1)</f>
        <v/>
      </c>
      <c r="B51" s="42"/>
      <c r="C51" s="38"/>
      <c r="D51" s="38"/>
      <c r="E51" s="39"/>
      <c r="F51" s="8">
        <f t="shared" si="0"/>
        <v>0</v>
      </c>
      <c r="G51" s="39"/>
      <c r="H51" s="14">
        <f t="shared" si="4"/>
        <v>0</v>
      </c>
      <c r="I51" s="39"/>
      <c r="J51" s="10">
        <f t="shared" si="1"/>
        <v>0</v>
      </c>
      <c r="K51" s="39"/>
      <c r="L51" s="11">
        <f t="shared" si="2"/>
        <v>0</v>
      </c>
      <c r="M51" s="39"/>
      <c r="N51" s="11">
        <f t="shared" si="5"/>
        <v>0</v>
      </c>
      <c r="O51" s="21">
        <f t="array" ref="O51">MIN(IF(I156:M156&lt;=0,"",I156:M156))</f>
        <v>0</v>
      </c>
      <c r="P51" s="22">
        <f t="shared" si="6"/>
        <v>0</v>
      </c>
      <c r="Q51" s="21">
        <f t="array" ref="Q51">MIN(IF(B156:F156&lt;=0,"",B156:F156))</f>
        <v>0</v>
      </c>
      <c r="R51" s="22">
        <f t="shared" si="3"/>
        <v>0</v>
      </c>
      <c r="S51" s="45"/>
    </row>
    <row r="52" spans="1:19" ht="17.25" thickBot="1">
      <c r="A52" s="3" t="str">
        <f>IF(B52="","",LARGE($A$7:A51,1)+1)</f>
        <v/>
      </c>
      <c r="B52" s="42"/>
      <c r="C52" s="38"/>
      <c r="D52" s="38"/>
      <c r="E52" s="39"/>
      <c r="F52" s="8">
        <f t="shared" si="0"/>
        <v>0</v>
      </c>
      <c r="G52" s="39"/>
      <c r="H52" s="14">
        <f t="shared" si="4"/>
        <v>0</v>
      </c>
      <c r="I52" s="39"/>
      <c r="J52" s="10">
        <f t="shared" si="1"/>
        <v>0</v>
      </c>
      <c r="K52" s="39"/>
      <c r="L52" s="11">
        <f t="shared" si="2"/>
        <v>0</v>
      </c>
      <c r="M52" s="39"/>
      <c r="N52" s="11">
        <f t="shared" si="5"/>
        <v>0</v>
      </c>
      <c r="O52" s="21">
        <f t="array" ref="O52">MIN(IF(I157:M157&lt;=0,"",I157:M157))</f>
        <v>0</v>
      </c>
      <c r="P52" s="22">
        <f t="shared" si="6"/>
        <v>0</v>
      </c>
      <c r="Q52" s="21">
        <f t="array" ref="Q52">MIN(IF(B157:F157&lt;=0,"",B157:F157))</f>
        <v>0</v>
      </c>
      <c r="R52" s="22">
        <f t="shared" si="3"/>
        <v>0</v>
      </c>
    </row>
    <row r="53" spans="1:19" ht="17.25" thickBot="1">
      <c r="A53" s="3" t="str">
        <f>IF(B53="","",LARGE($A$7:A52,1)+1)</f>
        <v/>
      </c>
      <c r="B53" s="42"/>
      <c r="C53" s="38"/>
      <c r="D53" s="38"/>
      <c r="E53" s="39"/>
      <c r="F53" s="8">
        <f t="shared" si="0"/>
        <v>0</v>
      </c>
      <c r="G53" s="39"/>
      <c r="H53" s="14">
        <f t="shared" si="4"/>
        <v>0</v>
      </c>
      <c r="I53" s="39"/>
      <c r="J53" s="10">
        <f t="shared" si="1"/>
        <v>0</v>
      </c>
      <c r="K53" s="39"/>
      <c r="L53" s="11">
        <f t="shared" si="2"/>
        <v>0</v>
      </c>
      <c r="M53" s="39"/>
      <c r="N53" s="11">
        <f t="shared" si="5"/>
        <v>0</v>
      </c>
      <c r="O53" s="21">
        <f t="array" ref="O53">MIN(IF(I158:M158&lt;=0,"",I158:M158))</f>
        <v>0</v>
      </c>
      <c r="P53" s="22">
        <f t="shared" si="6"/>
        <v>0</v>
      </c>
      <c r="Q53" s="21">
        <f t="array" ref="Q53">MIN(IF(B158:F158&lt;=0,"",B158:F158))</f>
        <v>0</v>
      </c>
      <c r="R53" s="22">
        <f t="shared" si="3"/>
        <v>0</v>
      </c>
    </row>
    <row r="54" spans="1:19" ht="17.25" thickBot="1">
      <c r="A54" s="3" t="str">
        <f>IF(B54="","",LARGE($A$7:A53,1)+1)</f>
        <v/>
      </c>
      <c r="B54" s="42"/>
      <c r="C54" s="38"/>
      <c r="D54" s="38"/>
      <c r="E54" s="39"/>
      <c r="F54" s="8">
        <f t="shared" si="0"/>
        <v>0</v>
      </c>
      <c r="G54" s="39"/>
      <c r="H54" s="14">
        <f t="shared" si="4"/>
        <v>0</v>
      </c>
      <c r="I54" s="39"/>
      <c r="J54" s="10">
        <f t="shared" si="1"/>
        <v>0</v>
      </c>
      <c r="K54" s="39"/>
      <c r="L54" s="11">
        <f t="shared" si="2"/>
        <v>0</v>
      </c>
      <c r="M54" s="39"/>
      <c r="N54" s="11">
        <f t="shared" si="5"/>
        <v>0</v>
      </c>
      <c r="O54" s="21">
        <f t="array" ref="O54">MIN(IF(I159:M159&lt;=0,"",I159:M159))</f>
        <v>0</v>
      </c>
      <c r="P54" s="22">
        <f t="shared" si="6"/>
        <v>0</v>
      </c>
      <c r="Q54" s="21">
        <f t="array" ref="Q54">MIN(IF(B159:F159&lt;=0,"",B159:F159))</f>
        <v>0</v>
      </c>
      <c r="R54" s="22">
        <f t="shared" si="3"/>
        <v>0</v>
      </c>
    </row>
    <row r="55" spans="1:19" ht="17.25" thickBot="1">
      <c r="A55" s="3" t="str">
        <f>IF(B55="","",LARGE($A$7:A54,1)+1)</f>
        <v/>
      </c>
      <c r="B55" s="42"/>
      <c r="C55" s="38"/>
      <c r="D55" s="38"/>
      <c r="E55" s="39"/>
      <c r="F55" s="8">
        <f t="shared" si="0"/>
        <v>0</v>
      </c>
      <c r="G55" s="39"/>
      <c r="H55" s="14">
        <f t="shared" si="4"/>
        <v>0</v>
      </c>
      <c r="I55" s="39"/>
      <c r="J55" s="10">
        <f t="shared" si="1"/>
        <v>0</v>
      </c>
      <c r="K55" s="39"/>
      <c r="L55" s="11">
        <f t="shared" si="2"/>
        <v>0</v>
      </c>
      <c r="M55" s="39"/>
      <c r="N55" s="11">
        <f t="shared" si="5"/>
        <v>0</v>
      </c>
      <c r="O55" s="21">
        <f t="array" ref="O55">MIN(IF(I160:M160&lt;=0,"",I160:M160))</f>
        <v>0</v>
      </c>
      <c r="P55" s="22">
        <f t="shared" si="6"/>
        <v>0</v>
      </c>
      <c r="Q55" s="21">
        <f t="array" ref="Q55">MIN(IF(B160:F160&lt;=0,"",B160:F160))</f>
        <v>0</v>
      </c>
      <c r="R55" s="22">
        <f t="shared" si="3"/>
        <v>0</v>
      </c>
      <c r="S55" s="45"/>
    </row>
    <row r="56" spans="1:19" ht="17.25" thickBot="1">
      <c r="A56" s="3" t="str">
        <f>IF(B56="","",LARGE($A$7:A55,1)+1)</f>
        <v/>
      </c>
      <c r="B56" s="42"/>
      <c r="C56" s="38"/>
      <c r="D56" s="38"/>
      <c r="E56" s="39"/>
      <c r="F56" s="8">
        <f t="shared" si="0"/>
        <v>0</v>
      </c>
      <c r="G56" s="39"/>
      <c r="H56" s="14">
        <f t="shared" si="4"/>
        <v>0</v>
      </c>
      <c r="I56" s="39"/>
      <c r="J56" s="10">
        <f t="shared" si="1"/>
        <v>0</v>
      </c>
      <c r="K56" s="39"/>
      <c r="L56" s="11">
        <f t="shared" si="2"/>
        <v>0</v>
      </c>
      <c r="M56" s="39"/>
      <c r="N56" s="11">
        <f t="shared" si="5"/>
        <v>0</v>
      </c>
      <c r="O56" s="21">
        <f t="array" ref="O56">MIN(IF(I161:M161&lt;=0,"",I161:M161))</f>
        <v>0</v>
      </c>
      <c r="P56" s="22">
        <f t="shared" si="6"/>
        <v>0</v>
      </c>
      <c r="Q56" s="21">
        <f t="array" ref="Q56">MIN(IF(B161:F161&lt;=0,"",B161:F161))</f>
        <v>0</v>
      </c>
      <c r="R56" s="22">
        <f t="shared" si="3"/>
        <v>0</v>
      </c>
      <c r="S56" s="45"/>
    </row>
    <row r="57" spans="1:19" ht="17.25" thickBot="1">
      <c r="A57" s="3" t="str">
        <f>IF(B57="","",LARGE($A$7:A56,1)+1)</f>
        <v/>
      </c>
      <c r="B57" s="42"/>
      <c r="C57" s="38"/>
      <c r="D57" s="38"/>
      <c r="E57" s="39"/>
      <c r="F57" s="8">
        <f t="shared" si="0"/>
        <v>0</v>
      </c>
      <c r="G57" s="39"/>
      <c r="H57" s="14">
        <f t="shared" si="4"/>
        <v>0</v>
      </c>
      <c r="I57" s="39"/>
      <c r="J57" s="10">
        <f t="shared" si="1"/>
        <v>0</v>
      </c>
      <c r="K57" s="39"/>
      <c r="L57" s="11">
        <f t="shared" si="2"/>
        <v>0</v>
      </c>
      <c r="M57" s="39"/>
      <c r="N57" s="11">
        <f t="shared" si="5"/>
        <v>0</v>
      </c>
      <c r="O57" s="21">
        <f t="array" ref="O57">MIN(IF(I162:M162&lt;=0,"",I162:M162))</f>
        <v>0</v>
      </c>
      <c r="P57" s="22">
        <f t="shared" si="6"/>
        <v>0</v>
      </c>
      <c r="Q57" s="21">
        <f t="array" ref="Q57">MIN(IF(B162:F162&lt;=0,"",B162:F162))</f>
        <v>0</v>
      </c>
      <c r="R57" s="22">
        <f t="shared" si="3"/>
        <v>0</v>
      </c>
    </row>
    <row r="58" spans="1:19" ht="17.25" thickBot="1">
      <c r="A58" s="3" t="str">
        <f>IF(B58="","",LARGE($A$7:A57,1)+1)</f>
        <v/>
      </c>
      <c r="B58" s="42"/>
      <c r="C58" s="38"/>
      <c r="D58" s="38"/>
      <c r="E58" s="39"/>
      <c r="F58" s="8">
        <f t="shared" si="0"/>
        <v>0</v>
      </c>
      <c r="G58" s="39"/>
      <c r="H58" s="14">
        <f t="shared" si="4"/>
        <v>0</v>
      </c>
      <c r="I58" s="39"/>
      <c r="J58" s="10">
        <f t="shared" si="1"/>
        <v>0</v>
      </c>
      <c r="K58" s="39"/>
      <c r="L58" s="11">
        <f t="shared" si="2"/>
        <v>0</v>
      </c>
      <c r="M58" s="39"/>
      <c r="N58" s="11">
        <f t="shared" si="5"/>
        <v>0</v>
      </c>
      <c r="O58" s="21">
        <f t="array" ref="O58">MIN(IF(I163:M163&lt;=0,"",I163:M163))</f>
        <v>0</v>
      </c>
      <c r="P58" s="22">
        <f t="shared" si="6"/>
        <v>0</v>
      </c>
      <c r="Q58" s="21">
        <f t="array" ref="Q58">MIN(IF(B163:F163&lt;=0,"",B163:F163))</f>
        <v>0</v>
      </c>
      <c r="R58" s="22">
        <f t="shared" si="3"/>
        <v>0</v>
      </c>
    </row>
    <row r="59" spans="1:19" ht="17.25" thickBot="1">
      <c r="A59" s="3" t="str">
        <f>IF(B59="","",LARGE($A$7:A58,1)+1)</f>
        <v/>
      </c>
      <c r="B59" s="42"/>
      <c r="C59" s="38"/>
      <c r="D59" s="38"/>
      <c r="E59" s="39"/>
      <c r="F59" s="8">
        <f t="shared" si="0"/>
        <v>0</v>
      </c>
      <c r="G59" s="39"/>
      <c r="H59" s="14">
        <f t="shared" si="4"/>
        <v>0</v>
      </c>
      <c r="I59" s="39"/>
      <c r="J59" s="10">
        <f t="shared" si="1"/>
        <v>0</v>
      </c>
      <c r="K59" s="39"/>
      <c r="L59" s="11">
        <f t="shared" si="2"/>
        <v>0</v>
      </c>
      <c r="M59" s="39"/>
      <c r="N59" s="11">
        <f t="shared" si="5"/>
        <v>0</v>
      </c>
      <c r="O59" s="21">
        <f t="array" ref="O59">MIN(IF(I164:M164&lt;=0,"",I164:M164))</f>
        <v>0</v>
      </c>
      <c r="P59" s="22">
        <f t="shared" si="6"/>
        <v>0</v>
      </c>
      <c r="Q59" s="21">
        <f t="array" ref="Q59">MIN(IF(B164:F164&lt;=0,"",B164:F164))</f>
        <v>0</v>
      </c>
      <c r="R59" s="22">
        <f t="shared" si="3"/>
        <v>0</v>
      </c>
    </row>
    <row r="60" spans="1:19" ht="17.25" thickBot="1">
      <c r="A60" s="3" t="str">
        <f>IF(B60="","",LARGE($A$7:A59,1)+1)</f>
        <v/>
      </c>
      <c r="B60" s="42"/>
      <c r="C60" s="38"/>
      <c r="D60" s="38"/>
      <c r="E60" s="39"/>
      <c r="F60" s="8">
        <f t="shared" si="0"/>
        <v>0</v>
      </c>
      <c r="G60" s="39"/>
      <c r="H60" s="14">
        <f t="shared" si="4"/>
        <v>0</v>
      </c>
      <c r="I60" s="39"/>
      <c r="J60" s="10">
        <f t="shared" si="1"/>
        <v>0</v>
      </c>
      <c r="K60" s="39"/>
      <c r="L60" s="11">
        <f t="shared" si="2"/>
        <v>0</v>
      </c>
      <c r="M60" s="39"/>
      <c r="N60" s="11">
        <f t="shared" si="5"/>
        <v>0</v>
      </c>
      <c r="O60" s="21">
        <f t="array" ref="O60">MIN(IF(I165:M165&lt;=0,"",I165:M165))</f>
        <v>0</v>
      </c>
      <c r="P60" s="22">
        <f t="shared" si="6"/>
        <v>0</v>
      </c>
      <c r="Q60" s="21">
        <f t="array" ref="Q60">MIN(IF(B165:F165&lt;=0,"",B165:F165))</f>
        <v>0</v>
      </c>
      <c r="R60" s="22">
        <f t="shared" si="3"/>
        <v>0</v>
      </c>
      <c r="S60" s="45"/>
    </row>
    <row r="61" spans="1:19" ht="17.25" thickBot="1">
      <c r="A61" s="3" t="str">
        <f>IF(B61="","",LARGE($A$7:A60,1)+1)</f>
        <v/>
      </c>
      <c r="B61" s="42"/>
      <c r="C61" s="38"/>
      <c r="D61" s="38"/>
      <c r="E61" s="39"/>
      <c r="F61" s="8">
        <f t="shared" si="0"/>
        <v>0</v>
      </c>
      <c r="G61" s="39"/>
      <c r="H61" s="14">
        <f t="shared" si="4"/>
        <v>0</v>
      </c>
      <c r="I61" s="39"/>
      <c r="J61" s="10">
        <f t="shared" si="1"/>
        <v>0</v>
      </c>
      <c r="K61" s="39"/>
      <c r="L61" s="11">
        <f t="shared" si="2"/>
        <v>0</v>
      </c>
      <c r="M61" s="39"/>
      <c r="N61" s="11">
        <f t="shared" si="5"/>
        <v>0</v>
      </c>
      <c r="O61" s="21">
        <f t="array" ref="O61">MIN(IF(I166:M166&lt;=0,"",I166:M166))</f>
        <v>0</v>
      </c>
      <c r="P61" s="22">
        <f t="shared" si="6"/>
        <v>0</v>
      </c>
      <c r="Q61" s="21">
        <f t="array" ref="Q61">MIN(IF(B166:F166&lt;=0,"",B166:F166))</f>
        <v>0</v>
      </c>
      <c r="R61" s="22">
        <f t="shared" si="3"/>
        <v>0</v>
      </c>
      <c r="S61" s="45"/>
    </row>
    <row r="62" spans="1:19" ht="17.25" thickBot="1">
      <c r="A62" s="3" t="str">
        <f>IF(B62="","",LARGE($A$7:A61,1)+1)</f>
        <v/>
      </c>
      <c r="B62" s="42"/>
      <c r="C62" s="38"/>
      <c r="D62" s="38"/>
      <c r="E62" s="39"/>
      <c r="F62" s="8">
        <f t="shared" si="0"/>
        <v>0</v>
      </c>
      <c r="G62" s="39"/>
      <c r="H62" s="14">
        <f t="shared" si="4"/>
        <v>0</v>
      </c>
      <c r="I62" s="39"/>
      <c r="J62" s="10">
        <f t="shared" si="1"/>
        <v>0</v>
      </c>
      <c r="K62" s="39"/>
      <c r="L62" s="11">
        <f t="shared" si="2"/>
        <v>0</v>
      </c>
      <c r="M62" s="39"/>
      <c r="N62" s="11">
        <f t="shared" si="5"/>
        <v>0</v>
      </c>
      <c r="O62" s="21">
        <f t="array" ref="O62">MIN(IF(I167:M167&lt;=0,"",I167:M167))</f>
        <v>0</v>
      </c>
      <c r="P62" s="22">
        <f t="shared" si="6"/>
        <v>0</v>
      </c>
      <c r="Q62" s="21">
        <f t="array" ref="Q62">MIN(IF(B167:F167&lt;=0,"",B167:F167))</f>
        <v>0</v>
      </c>
      <c r="R62" s="22">
        <f t="shared" si="3"/>
        <v>0</v>
      </c>
    </row>
    <row r="63" spans="1:19" ht="17.25" thickBot="1">
      <c r="A63" s="3" t="str">
        <f>IF(B63="","",LARGE($A$7:A62,1)+1)</f>
        <v/>
      </c>
      <c r="B63" s="42"/>
      <c r="C63" s="38"/>
      <c r="D63" s="38"/>
      <c r="E63" s="39"/>
      <c r="F63" s="8">
        <f t="shared" si="0"/>
        <v>0</v>
      </c>
      <c r="G63" s="39"/>
      <c r="H63" s="14">
        <f t="shared" si="4"/>
        <v>0</v>
      </c>
      <c r="I63" s="39"/>
      <c r="J63" s="10">
        <f t="shared" si="1"/>
        <v>0</v>
      </c>
      <c r="K63" s="39"/>
      <c r="L63" s="11">
        <f t="shared" si="2"/>
        <v>0</v>
      </c>
      <c r="M63" s="39"/>
      <c r="N63" s="11">
        <f t="shared" si="5"/>
        <v>0</v>
      </c>
      <c r="O63" s="21">
        <f t="array" ref="O63">MIN(IF(I168:M168&lt;=0,"",I168:M168))</f>
        <v>0</v>
      </c>
      <c r="P63" s="22">
        <f t="shared" si="6"/>
        <v>0</v>
      </c>
      <c r="Q63" s="21">
        <f t="array" ref="Q63">MIN(IF(B168:F168&lt;=0,"",B168:F168))</f>
        <v>0</v>
      </c>
      <c r="R63" s="22">
        <f t="shared" si="3"/>
        <v>0</v>
      </c>
    </row>
    <row r="64" spans="1:19" ht="17.25" thickBot="1">
      <c r="A64" s="3" t="str">
        <f>IF(B64="","",LARGE($A$7:A63,1)+1)</f>
        <v/>
      </c>
      <c r="B64" s="42"/>
      <c r="C64" s="38"/>
      <c r="D64" s="38"/>
      <c r="E64" s="39"/>
      <c r="F64" s="8">
        <f t="shared" si="0"/>
        <v>0</v>
      </c>
      <c r="G64" s="39"/>
      <c r="H64" s="14">
        <f t="shared" si="4"/>
        <v>0</v>
      </c>
      <c r="I64" s="39"/>
      <c r="J64" s="10">
        <f t="shared" si="1"/>
        <v>0</v>
      </c>
      <c r="K64" s="39"/>
      <c r="L64" s="11">
        <f t="shared" si="2"/>
        <v>0</v>
      </c>
      <c r="M64" s="39"/>
      <c r="N64" s="11">
        <f t="shared" si="5"/>
        <v>0</v>
      </c>
      <c r="O64" s="21">
        <f t="array" ref="O64">MIN(IF(I169:M169&lt;=0,"",I169:M169))</f>
        <v>0</v>
      </c>
      <c r="P64" s="22">
        <f t="shared" si="6"/>
        <v>0</v>
      </c>
      <c r="Q64" s="21">
        <f t="array" ref="Q64">MIN(IF(B169:F169&lt;=0,"",B169:F169))</f>
        <v>0</v>
      </c>
      <c r="R64" s="22">
        <f t="shared" si="3"/>
        <v>0</v>
      </c>
    </row>
    <row r="65" spans="1:20 16384:16384" ht="17.25" thickBot="1">
      <c r="A65" s="3" t="str">
        <f>IF(B65="","",LARGE($A$7:A64,1)+1)</f>
        <v/>
      </c>
      <c r="B65" s="42"/>
      <c r="C65" s="38"/>
      <c r="D65" s="38"/>
      <c r="E65" s="39"/>
      <c r="F65" s="8">
        <f t="shared" si="0"/>
        <v>0</v>
      </c>
      <c r="G65" s="39"/>
      <c r="H65" s="14">
        <f t="shared" si="4"/>
        <v>0</v>
      </c>
      <c r="I65" s="39"/>
      <c r="J65" s="10">
        <f t="shared" si="1"/>
        <v>0</v>
      </c>
      <c r="K65" s="39"/>
      <c r="L65" s="11">
        <f t="shared" si="2"/>
        <v>0</v>
      </c>
      <c r="M65" s="39"/>
      <c r="N65" s="11">
        <f t="shared" si="5"/>
        <v>0</v>
      </c>
      <c r="O65" s="21">
        <f t="array" ref="O65">MIN(IF(I170:M170&lt;=0,"",I170:M170))</f>
        <v>0</v>
      </c>
      <c r="P65" s="22">
        <f t="shared" si="6"/>
        <v>0</v>
      </c>
      <c r="Q65" s="21">
        <f t="array" ref="Q65">MIN(IF(B170:F170&lt;=0,"",B170:F170))</f>
        <v>0</v>
      </c>
      <c r="R65" s="22">
        <f t="shared" si="3"/>
        <v>0</v>
      </c>
      <c r="S65" s="45"/>
    </row>
    <row r="66" spans="1:20 16384:16384" ht="17.25" thickBot="1">
      <c r="A66" s="3" t="str">
        <f>IF(B66="","",LARGE($A$7:A65,1)+1)</f>
        <v/>
      </c>
      <c r="B66" s="42"/>
      <c r="C66" s="38"/>
      <c r="D66" s="38"/>
      <c r="E66" s="39"/>
      <c r="F66" s="8">
        <f t="shared" si="0"/>
        <v>0</v>
      </c>
      <c r="G66" s="39"/>
      <c r="H66" s="14">
        <f t="shared" si="4"/>
        <v>0</v>
      </c>
      <c r="I66" s="39"/>
      <c r="J66" s="10">
        <f t="shared" si="1"/>
        <v>0</v>
      </c>
      <c r="K66" s="39"/>
      <c r="L66" s="11">
        <f t="shared" si="2"/>
        <v>0</v>
      </c>
      <c r="M66" s="39"/>
      <c r="N66" s="11">
        <f t="shared" si="5"/>
        <v>0</v>
      </c>
      <c r="O66" s="21">
        <f t="array" ref="O66">MIN(IF(I171:M171&lt;=0,"",I171:M171))</f>
        <v>0</v>
      </c>
      <c r="P66" s="22">
        <f t="shared" si="6"/>
        <v>0</v>
      </c>
      <c r="Q66" s="21">
        <f t="array" ref="Q66">MIN(IF(B171:F171&lt;=0,"",B171:F171))</f>
        <v>0</v>
      </c>
      <c r="R66" s="22">
        <f t="shared" si="3"/>
        <v>0</v>
      </c>
      <c r="S66" s="45"/>
    </row>
    <row r="67" spans="1:20 16384:16384" ht="17.25" thickBot="1">
      <c r="A67" s="3" t="str">
        <f>IF(B67="","",LARGE($A$7:A66,1)+1)</f>
        <v/>
      </c>
      <c r="B67" s="43"/>
      <c r="C67" s="38"/>
      <c r="D67" s="38"/>
      <c r="E67" s="39"/>
      <c r="F67" s="8">
        <f t="shared" si="0"/>
        <v>0</v>
      </c>
      <c r="G67" s="39"/>
      <c r="H67" s="14">
        <f t="shared" si="4"/>
        <v>0</v>
      </c>
      <c r="I67" s="39"/>
      <c r="J67" s="10">
        <f t="shared" si="1"/>
        <v>0</v>
      </c>
      <c r="K67" s="39"/>
      <c r="L67" s="11">
        <f t="shared" si="2"/>
        <v>0</v>
      </c>
      <c r="M67" s="39"/>
      <c r="N67" s="11">
        <f t="shared" si="5"/>
        <v>0</v>
      </c>
      <c r="O67" s="21">
        <f t="array" ref="O67">MIN(IF(I172:M172&lt;=0,"",I172:M172))</f>
        <v>0</v>
      </c>
      <c r="P67" s="22">
        <f t="shared" si="6"/>
        <v>0</v>
      </c>
      <c r="Q67" s="21">
        <f t="array" ref="Q67">MIN(IF(B172:F172&lt;=0,"",B172:F172))</f>
        <v>0</v>
      </c>
      <c r="R67" s="22">
        <f t="shared" si="3"/>
        <v>0</v>
      </c>
    </row>
    <row r="68" spans="1:20 16384:16384" ht="17.25" thickBot="1">
      <c r="A68" s="3" t="str">
        <f>IF(B68="","",LARGE($A$7:A67,1)+1)</f>
        <v/>
      </c>
      <c r="B68" s="44"/>
      <c r="C68" s="38"/>
      <c r="D68" s="38"/>
      <c r="E68" s="39"/>
      <c r="F68" s="8">
        <f t="shared" si="0"/>
        <v>0</v>
      </c>
      <c r="G68" s="39"/>
      <c r="H68" s="14">
        <f t="shared" si="4"/>
        <v>0</v>
      </c>
      <c r="I68" s="39"/>
      <c r="J68" s="10">
        <f t="shared" si="1"/>
        <v>0</v>
      </c>
      <c r="K68" s="39"/>
      <c r="L68" s="11">
        <f t="shared" si="2"/>
        <v>0</v>
      </c>
      <c r="M68" s="39"/>
      <c r="N68" s="11">
        <f t="shared" si="5"/>
        <v>0</v>
      </c>
      <c r="O68" s="21">
        <f t="array" ref="O68">MIN(IF(I173:M173&lt;=0,"",I173:M173))</f>
        <v>0</v>
      </c>
      <c r="P68" s="22">
        <f t="shared" si="6"/>
        <v>0</v>
      </c>
      <c r="Q68" s="21">
        <f t="array" ref="Q68">MIN(IF(B173:F173&lt;=0,"",B173:F173))</f>
        <v>0</v>
      </c>
      <c r="R68" s="22">
        <f t="shared" si="3"/>
        <v>0</v>
      </c>
      <c r="T68" s="13"/>
    </row>
    <row r="69" spans="1:20 16384:16384" ht="17.25" thickBot="1">
      <c r="A69" s="3" t="str">
        <f>IF(B69="","",LARGE($A$7:A68,1)+1)</f>
        <v/>
      </c>
      <c r="B69" s="37"/>
      <c r="C69" s="38"/>
      <c r="D69" s="38"/>
      <c r="E69" s="39"/>
      <c r="F69" s="8">
        <f t="shared" si="0"/>
        <v>0</v>
      </c>
      <c r="G69" s="39"/>
      <c r="H69" s="14">
        <f t="shared" si="4"/>
        <v>0</v>
      </c>
      <c r="I69" s="39"/>
      <c r="J69" s="10">
        <f t="shared" si="1"/>
        <v>0</v>
      </c>
      <c r="K69" s="39"/>
      <c r="L69" s="11">
        <f t="shared" si="2"/>
        <v>0</v>
      </c>
      <c r="M69" s="39"/>
      <c r="N69" s="11">
        <f t="shared" si="5"/>
        <v>0</v>
      </c>
      <c r="O69" s="21">
        <f t="array" ref="O69">MIN(IF(I174:M174&lt;=0,"",I174:M174))</f>
        <v>0</v>
      </c>
      <c r="P69" s="22">
        <f t="shared" si="6"/>
        <v>0</v>
      </c>
      <c r="Q69" s="21">
        <f t="array" ref="Q69">MIN(IF(B174:F174&lt;=0,"",B174:F174))</f>
        <v>0</v>
      </c>
      <c r="R69" s="22">
        <f t="shared" si="3"/>
        <v>0</v>
      </c>
      <c r="XFD69" s="18">
        <f>MIN(A69:XFC69)</f>
        <v>0</v>
      </c>
    </row>
    <row r="70" spans="1:20 16384:16384" ht="17.25" thickBot="1">
      <c r="A70" s="3" t="str">
        <f>IF(B70="","",LARGE($A$7:A69,1)+1)</f>
        <v/>
      </c>
      <c r="B70" s="37"/>
      <c r="C70" s="38"/>
      <c r="D70" s="38"/>
      <c r="E70" s="39"/>
      <c r="F70" s="8">
        <f t="shared" si="0"/>
        <v>0</v>
      </c>
      <c r="G70" s="39"/>
      <c r="H70" s="14">
        <f t="shared" si="4"/>
        <v>0</v>
      </c>
      <c r="I70" s="39"/>
      <c r="J70" s="10">
        <f t="shared" si="1"/>
        <v>0</v>
      </c>
      <c r="K70" s="39"/>
      <c r="L70" s="11">
        <f t="shared" si="2"/>
        <v>0</v>
      </c>
      <c r="M70" s="39"/>
      <c r="N70" s="11">
        <f t="shared" si="5"/>
        <v>0</v>
      </c>
      <c r="O70" s="21">
        <f t="array" ref="O70">MIN(IF(I175:M175&lt;=0,"",I175:M175))</f>
        <v>0</v>
      </c>
      <c r="P70" s="22">
        <f t="shared" si="6"/>
        <v>0</v>
      </c>
      <c r="Q70" s="21">
        <f t="array" ref="Q70">MIN(IF(B175:F175&lt;=0,"",B175:F175))</f>
        <v>0</v>
      </c>
      <c r="R70" s="22">
        <f t="shared" si="3"/>
        <v>0</v>
      </c>
      <c r="S70" s="45"/>
      <c r="T70" s="23"/>
    </row>
    <row r="71" spans="1:20 16384:16384" ht="17.25" thickBot="1">
      <c r="A71" s="3" t="str">
        <f>IF(B71="","",LARGE($A$7:A70,1)+1)</f>
        <v/>
      </c>
      <c r="B71" s="37"/>
      <c r="C71" s="38"/>
      <c r="D71" s="38"/>
      <c r="E71" s="39"/>
      <c r="F71" s="8">
        <f t="shared" ref="F71:F98" si="7">E71*D71</f>
        <v>0</v>
      </c>
      <c r="G71" s="39"/>
      <c r="H71" s="14">
        <f t="shared" si="4"/>
        <v>0</v>
      </c>
      <c r="I71" s="39"/>
      <c r="J71" s="10">
        <f t="shared" ref="J71:J98" si="8">I71*D71</f>
        <v>0</v>
      </c>
      <c r="K71" s="39"/>
      <c r="L71" s="11">
        <f t="shared" ref="L71:L98" si="9">K71*D71</f>
        <v>0</v>
      </c>
      <c r="M71" s="39"/>
      <c r="N71" s="11">
        <f t="shared" si="5"/>
        <v>0</v>
      </c>
      <c r="O71" s="21">
        <f t="array" ref="O71">MIN(IF(I176:M176&lt;=0,"",I176:M176))</f>
        <v>0</v>
      </c>
      <c r="P71" s="22">
        <f t="shared" si="6"/>
        <v>0</v>
      </c>
      <c r="Q71" s="21">
        <f t="array" ref="Q71">MIN(IF(B176:F176&lt;=0,"",B176:F176))</f>
        <v>0</v>
      </c>
      <c r="R71" s="22">
        <f t="shared" ref="R71:R98" si="10">MAX(F71,H71,J71,L71,N71)</f>
        <v>0</v>
      </c>
      <c r="S71" s="45"/>
    </row>
    <row r="72" spans="1:20 16384:16384" ht="17.25" thickBot="1">
      <c r="A72" s="3" t="str">
        <f>IF(B72="","",LARGE($A$7:A71,1)+1)</f>
        <v/>
      </c>
      <c r="B72" s="37"/>
      <c r="C72" s="38"/>
      <c r="D72" s="38"/>
      <c r="E72" s="39"/>
      <c r="F72" s="8">
        <f t="shared" si="7"/>
        <v>0</v>
      </c>
      <c r="G72" s="39"/>
      <c r="H72" s="14">
        <f t="shared" ref="H72:H86" si="11">G72*D72</f>
        <v>0</v>
      </c>
      <c r="I72" s="39"/>
      <c r="J72" s="10">
        <f t="shared" si="8"/>
        <v>0</v>
      </c>
      <c r="K72" s="39"/>
      <c r="L72" s="11">
        <f t="shared" si="9"/>
        <v>0</v>
      </c>
      <c r="M72" s="39"/>
      <c r="N72" s="11">
        <f t="shared" ref="N72:N98" si="12">M72*D72</f>
        <v>0</v>
      </c>
      <c r="O72" s="21">
        <f t="array" ref="O72">MIN(IF(I177:M177&lt;=0,"",I177:M177))</f>
        <v>0</v>
      </c>
      <c r="P72" s="22">
        <f t="shared" ref="P72:P98" si="13">MAX(E72,G72,I72,K72,M72)</f>
        <v>0</v>
      </c>
      <c r="Q72" s="21">
        <f t="array" ref="Q72">MIN(IF(B177:F177&lt;=0,"",B177:F177))</f>
        <v>0</v>
      </c>
      <c r="R72" s="22">
        <f t="shared" si="10"/>
        <v>0</v>
      </c>
    </row>
    <row r="73" spans="1:20 16384:16384" ht="17.25" thickBot="1">
      <c r="A73" s="3" t="str">
        <f>IF(B73="","",LARGE($A$7:A72,1)+1)</f>
        <v/>
      </c>
      <c r="B73" s="37"/>
      <c r="C73" s="38"/>
      <c r="D73" s="38"/>
      <c r="E73" s="39"/>
      <c r="F73" s="8">
        <f t="shared" si="7"/>
        <v>0</v>
      </c>
      <c r="G73" s="39"/>
      <c r="H73" s="14">
        <f t="shared" si="11"/>
        <v>0</v>
      </c>
      <c r="I73" s="39"/>
      <c r="J73" s="10">
        <f t="shared" si="8"/>
        <v>0</v>
      </c>
      <c r="K73" s="39"/>
      <c r="L73" s="11">
        <f t="shared" si="9"/>
        <v>0</v>
      </c>
      <c r="M73" s="39"/>
      <c r="N73" s="11">
        <f t="shared" si="12"/>
        <v>0</v>
      </c>
      <c r="O73" s="21">
        <f t="array" ref="O73">MIN(IF(I178:M178&lt;=0,"",I178:M178))</f>
        <v>0</v>
      </c>
      <c r="P73" s="22">
        <f t="shared" si="13"/>
        <v>0</v>
      </c>
      <c r="Q73" s="21">
        <f t="array" ref="Q73">MIN(IF(B178:F178&lt;=0,"",B178:F178))</f>
        <v>0</v>
      </c>
      <c r="R73" s="22">
        <f t="shared" si="10"/>
        <v>0</v>
      </c>
    </row>
    <row r="74" spans="1:20 16384:16384" ht="17.25" thickBot="1">
      <c r="A74" s="3" t="str">
        <f>IF(B74="","",LARGE($A$7:A73,1)+1)</f>
        <v/>
      </c>
      <c r="B74" s="37"/>
      <c r="C74" s="38"/>
      <c r="D74" s="38"/>
      <c r="E74" s="39"/>
      <c r="F74" s="8">
        <f t="shared" si="7"/>
        <v>0</v>
      </c>
      <c r="G74" s="39"/>
      <c r="H74" s="14">
        <f t="shared" si="11"/>
        <v>0</v>
      </c>
      <c r="I74" s="39"/>
      <c r="J74" s="10">
        <f t="shared" si="8"/>
        <v>0</v>
      </c>
      <c r="K74" s="39"/>
      <c r="L74" s="11">
        <f t="shared" si="9"/>
        <v>0</v>
      </c>
      <c r="M74" s="39"/>
      <c r="N74" s="11">
        <f t="shared" si="12"/>
        <v>0</v>
      </c>
      <c r="O74" s="21">
        <f t="array" ref="O74">MIN(IF(I179:M179&lt;=0,"",I179:M179))</f>
        <v>0</v>
      </c>
      <c r="P74" s="22">
        <f t="shared" si="13"/>
        <v>0</v>
      </c>
      <c r="Q74" s="21">
        <f t="array" ref="Q74">MIN(IF(B179:F179&lt;=0,"",B179:F179))</f>
        <v>0</v>
      </c>
      <c r="R74" s="22">
        <f t="shared" si="10"/>
        <v>0</v>
      </c>
    </row>
    <row r="75" spans="1:20 16384:16384" ht="17.25" thickBot="1">
      <c r="A75" s="3" t="str">
        <f>IF(B75="","",LARGE($A$7:A74,1)+1)</f>
        <v/>
      </c>
      <c r="B75" s="37"/>
      <c r="C75" s="38"/>
      <c r="D75" s="38"/>
      <c r="E75" s="39"/>
      <c r="F75" s="8">
        <f t="shared" si="7"/>
        <v>0</v>
      </c>
      <c r="G75" s="39"/>
      <c r="H75" s="14">
        <f t="shared" si="11"/>
        <v>0</v>
      </c>
      <c r="I75" s="39"/>
      <c r="J75" s="10">
        <f t="shared" si="8"/>
        <v>0</v>
      </c>
      <c r="K75" s="39"/>
      <c r="L75" s="11">
        <f t="shared" si="9"/>
        <v>0</v>
      </c>
      <c r="M75" s="39"/>
      <c r="N75" s="11">
        <f t="shared" si="12"/>
        <v>0</v>
      </c>
      <c r="O75" s="21">
        <f t="array" ref="O75">MIN(IF(I180:M180&lt;=0,"",I180:M180))</f>
        <v>0</v>
      </c>
      <c r="P75" s="22">
        <f t="shared" si="13"/>
        <v>0</v>
      </c>
      <c r="Q75" s="21">
        <f t="array" ref="Q75">MIN(IF(B180:F180&lt;=0,"",B180:F180))</f>
        <v>0</v>
      </c>
      <c r="R75" s="22">
        <f t="shared" si="10"/>
        <v>0</v>
      </c>
      <c r="S75" s="45"/>
    </row>
    <row r="76" spans="1:20 16384:16384" ht="17.25" thickBot="1">
      <c r="A76" s="3" t="str">
        <f>IF(B76="","",LARGE($A$7:A75,1)+1)</f>
        <v/>
      </c>
      <c r="B76" s="37"/>
      <c r="C76" s="38"/>
      <c r="D76" s="38"/>
      <c r="E76" s="39"/>
      <c r="F76" s="8">
        <f t="shared" si="7"/>
        <v>0</v>
      </c>
      <c r="G76" s="39"/>
      <c r="H76" s="14">
        <f t="shared" si="11"/>
        <v>0</v>
      </c>
      <c r="I76" s="39"/>
      <c r="J76" s="10">
        <f t="shared" si="8"/>
        <v>0</v>
      </c>
      <c r="K76" s="39"/>
      <c r="L76" s="11">
        <f t="shared" si="9"/>
        <v>0</v>
      </c>
      <c r="M76" s="39"/>
      <c r="N76" s="11">
        <f t="shared" si="12"/>
        <v>0</v>
      </c>
      <c r="O76" s="21">
        <f t="array" ref="O76">MIN(IF(I181:M181&lt;=0,"",I181:M181))</f>
        <v>0</v>
      </c>
      <c r="P76" s="22">
        <f t="shared" si="13"/>
        <v>0</v>
      </c>
      <c r="Q76" s="21">
        <f t="array" ref="Q76">MIN(IF(B181:F181&lt;=0,"",B181:F181))</f>
        <v>0</v>
      </c>
      <c r="R76" s="22">
        <f t="shared" si="10"/>
        <v>0</v>
      </c>
      <c r="S76" s="45"/>
    </row>
    <row r="77" spans="1:20 16384:16384" ht="17.25" thickBot="1">
      <c r="A77" s="3" t="str">
        <f>IF(B77="","",LARGE($A$7:A76,1)+1)</f>
        <v/>
      </c>
      <c r="B77" s="37"/>
      <c r="C77" s="38"/>
      <c r="D77" s="38"/>
      <c r="E77" s="39"/>
      <c r="F77" s="8">
        <f t="shared" si="7"/>
        <v>0</v>
      </c>
      <c r="G77" s="39"/>
      <c r="H77" s="14">
        <f t="shared" si="11"/>
        <v>0</v>
      </c>
      <c r="I77" s="39"/>
      <c r="J77" s="10">
        <f t="shared" si="8"/>
        <v>0</v>
      </c>
      <c r="K77" s="39"/>
      <c r="L77" s="11">
        <f t="shared" si="9"/>
        <v>0</v>
      </c>
      <c r="M77" s="39"/>
      <c r="N77" s="11">
        <f t="shared" si="12"/>
        <v>0</v>
      </c>
      <c r="O77" s="21">
        <f t="array" ref="O77">MIN(IF(I182:M182&lt;=0,"",I182:M182))</f>
        <v>0</v>
      </c>
      <c r="P77" s="22">
        <f t="shared" si="13"/>
        <v>0</v>
      </c>
      <c r="Q77" s="21">
        <f t="array" ref="Q77">MIN(IF(B182:F182&lt;=0,"",B182:F182))</f>
        <v>0</v>
      </c>
      <c r="R77" s="22">
        <f t="shared" si="10"/>
        <v>0</v>
      </c>
    </row>
    <row r="78" spans="1:20 16384:16384" ht="17.25" thickBot="1">
      <c r="A78" s="3" t="str">
        <f>IF(B78="","",LARGE($A$7:A77,1)+1)</f>
        <v/>
      </c>
      <c r="B78" s="37"/>
      <c r="C78" s="38"/>
      <c r="D78" s="38"/>
      <c r="E78" s="39"/>
      <c r="F78" s="8">
        <f t="shared" si="7"/>
        <v>0</v>
      </c>
      <c r="G78" s="39"/>
      <c r="H78" s="14">
        <f t="shared" si="11"/>
        <v>0</v>
      </c>
      <c r="I78" s="39"/>
      <c r="J78" s="10">
        <f t="shared" si="8"/>
        <v>0</v>
      </c>
      <c r="K78" s="39"/>
      <c r="L78" s="11">
        <f t="shared" si="9"/>
        <v>0</v>
      </c>
      <c r="M78" s="39"/>
      <c r="N78" s="11">
        <f t="shared" si="12"/>
        <v>0</v>
      </c>
      <c r="O78" s="21">
        <f t="array" ref="O78">MIN(IF(I183:M183&lt;=0,"",I183:M183))</f>
        <v>0</v>
      </c>
      <c r="P78" s="22">
        <f t="shared" si="13"/>
        <v>0</v>
      </c>
      <c r="Q78" s="21">
        <f t="array" ref="Q78">MIN(IF(B183:F183&lt;=0,"",B183:F183))</f>
        <v>0</v>
      </c>
      <c r="R78" s="22">
        <f t="shared" si="10"/>
        <v>0</v>
      </c>
    </row>
    <row r="79" spans="1:20 16384:16384" ht="17.25" thickBot="1">
      <c r="A79" s="3" t="str">
        <f>IF(B79="","",LARGE($A$7:A78,1)+1)</f>
        <v/>
      </c>
      <c r="B79" s="37"/>
      <c r="C79" s="38"/>
      <c r="D79" s="38"/>
      <c r="E79" s="39"/>
      <c r="F79" s="8">
        <f t="shared" si="7"/>
        <v>0</v>
      </c>
      <c r="G79" s="39"/>
      <c r="H79" s="14">
        <f t="shared" si="11"/>
        <v>0</v>
      </c>
      <c r="I79" s="39"/>
      <c r="J79" s="10">
        <f t="shared" si="8"/>
        <v>0</v>
      </c>
      <c r="K79" s="39"/>
      <c r="L79" s="11">
        <f t="shared" si="9"/>
        <v>0</v>
      </c>
      <c r="M79" s="39"/>
      <c r="N79" s="11">
        <f t="shared" si="12"/>
        <v>0</v>
      </c>
      <c r="O79" s="21">
        <f t="array" ref="O79">MIN(IF(I184:M184&lt;=0,"",I184:M184))</f>
        <v>0</v>
      </c>
      <c r="P79" s="22">
        <f t="shared" si="13"/>
        <v>0</v>
      </c>
      <c r="Q79" s="21">
        <f t="array" ref="Q79">MIN(IF(B184:F184&lt;=0,"",B184:F184))</f>
        <v>0</v>
      </c>
      <c r="R79" s="22">
        <f t="shared" si="10"/>
        <v>0</v>
      </c>
    </row>
    <row r="80" spans="1:20 16384:16384" ht="17.25" thickBot="1">
      <c r="A80" s="3" t="str">
        <f>IF(B80="","",LARGE($A$7:A79,1)+1)</f>
        <v/>
      </c>
      <c r="B80" s="37"/>
      <c r="C80" s="38"/>
      <c r="D80" s="38"/>
      <c r="E80" s="39"/>
      <c r="F80" s="8">
        <f t="shared" si="7"/>
        <v>0</v>
      </c>
      <c r="G80" s="39"/>
      <c r="H80" s="14">
        <f t="shared" si="11"/>
        <v>0</v>
      </c>
      <c r="I80" s="39"/>
      <c r="J80" s="10">
        <f t="shared" si="8"/>
        <v>0</v>
      </c>
      <c r="K80" s="39"/>
      <c r="L80" s="11">
        <f t="shared" si="9"/>
        <v>0</v>
      </c>
      <c r="M80" s="39"/>
      <c r="N80" s="11">
        <f t="shared" si="12"/>
        <v>0</v>
      </c>
      <c r="O80" s="21">
        <f t="array" ref="O80">MIN(IF(I185:M185&lt;=0,"",I185:M185))</f>
        <v>0</v>
      </c>
      <c r="P80" s="22">
        <f t="shared" si="13"/>
        <v>0</v>
      </c>
      <c r="Q80" s="21">
        <f t="array" ref="Q80">MIN(IF(B185:F185&lt;=0,"",B185:F185))</f>
        <v>0</v>
      </c>
      <c r="R80" s="22">
        <f t="shared" si="10"/>
        <v>0</v>
      </c>
      <c r="S80" s="45"/>
    </row>
    <row r="81" spans="1:19" ht="17.25" thickBot="1">
      <c r="A81" s="3" t="str">
        <f>IF(B81="","",LARGE($A$7:A80,1)+1)</f>
        <v/>
      </c>
      <c r="B81" s="37"/>
      <c r="C81" s="38"/>
      <c r="D81" s="38"/>
      <c r="E81" s="39"/>
      <c r="F81" s="8">
        <f t="shared" si="7"/>
        <v>0</v>
      </c>
      <c r="G81" s="39"/>
      <c r="H81" s="14">
        <f t="shared" si="11"/>
        <v>0</v>
      </c>
      <c r="I81" s="39"/>
      <c r="J81" s="10">
        <f t="shared" si="8"/>
        <v>0</v>
      </c>
      <c r="K81" s="39"/>
      <c r="L81" s="11">
        <f t="shared" si="9"/>
        <v>0</v>
      </c>
      <c r="M81" s="39"/>
      <c r="N81" s="11">
        <f t="shared" si="12"/>
        <v>0</v>
      </c>
      <c r="O81" s="21">
        <f t="array" ref="O81">MIN(IF(I186:M186&lt;=0,"",I186:M186))</f>
        <v>0</v>
      </c>
      <c r="P81" s="22">
        <f t="shared" si="13"/>
        <v>0</v>
      </c>
      <c r="Q81" s="21">
        <f t="array" ref="Q81">MIN(IF(B186:F186&lt;=0,"",B186:F186))</f>
        <v>0</v>
      </c>
      <c r="R81" s="22">
        <f t="shared" si="10"/>
        <v>0</v>
      </c>
      <c r="S81" s="45"/>
    </row>
    <row r="82" spans="1:19" ht="17.25" thickBot="1">
      <c r="A82" s="3" t="str">
        <f>IF(B82="","",LARGE($A$7:A81,1)+1)</f>
        <v/>
      </c>
      <c r="B82" s="37"/>
      <c r="C82" s="38"/>
      <c r="D82" s="38"/>
      <c r="E82" s="39"/>
      <c r="F82" s="8">
        <f t="shared" si="7"/>
        <v>0</v>
      </c>
      <c r="G82" s="39"/>
      <c r="H82" s="14">
        <f t="shared" si="11"/>
        <v>0</v>
      </c>
      <c r="I82" s="39"/>
      <c r="J82" s="10">
        <f t="shared" si="8"/>
        <v>0</v>
      </c>
      <c r="K82" s="39"/>
      <c r="L82" s="11">
        <f t="shared" si="9"/>
        <v>0</v>
      </c>
      <c r="M82" s="39"/>
      <c r="N82" s="11">
        <f t="shared" si="12"/>
        <v>0</v>
      </c>
      <c r="O82" s="21">
        <f t="array" ref="O82">MIN(IF(I187:M187&lt;=0,"",I187:M187))</f>
        <v>0</v>
      </c>
      <c r="P82" s="22">
        <f t="shared" si="13"/>
        <v>0</v>
      </c>
      <c r="Q82" s="21">
        <f t="array" ref="Q82">MIN(IF(B187:F187&lt;=0,"",B187:F187))</f>
        <v>0</v>
      </c>
      <c r="R82" s="22">
        <f t="shared" si="10"/>
        <v>0</v>
      </c>
    </row>
    <row r="83" spans="1:19" ht="17.25" thickBot="1">
      <c r="A83" s="3" t="str">
        <f>IF(B83="","",LARGE($A$7:A82,1)+1)</f>
        <v/>
      </c>
      <c r="B83" s="37"/>
      <c r="C83" s="38"/>
      <c r="D83" s="38"/>
      <c r="E83" s="39"/>
      <c r="F83" s="8">
        <f t="shared" si="7"/>
        <v>0</v>
      </c>
      <c r="G83" s="39"/>
      <c r="H83" s="14">
        <f t="shared" si="11"/>
        <v>0</v>
      </c>
      <c r="I83" s="39"/>
      <c r="J83" s="10">
        <f t="shared" si="8"/>
        <v>0</v>
      </c>
      <c r="K83" s="39"/>
      <c r="L83" s="11">
        <f t="shared" si="9"/>
        <v>0</v>
      </c>
      <c r="M83" s="39"/>
      <c r="N83" s="11">
        <f t="shared" si="12"/>
        <v>0</v>
      </c>
      <c r="O83" s="21">
        <f t="array" ref="O83">MIN(IF(I188:M188&lt;=0,"",I188:M188))</f>
        <v>0</v>
      </c>
      <c r="P83" s="22">
        <f t="shared" si="13"/>
        <v>0</v>
      </c>
      <c r="Q83" s="21">
        <f t="array" ref="Q83">MIN(IF(B188:F188&lt;=0,"",B188:F188))</f>
        <v>0</v>
      </c>
      <c r="R83" s="22">
        <f t="shared" si="10"/>
        <v>0</v>
      </c>
    </row>
    <row r="84" spans="1:19" ht="17.25" thickBot="1">
      <c r="A84" s="3" t="str">
        <f>IF(B84="","",LARGE($A$7:A83,1)+1)</f>
        <v/>
      </c>
      <c r="B84" s="37"/>
      <c r="C84" s="38"/>
      <c r="D84" s="38"/>
      <c r="E84" s="39"/>
      <c r="F84" s="8">
        <f t="shared" si="7"/>
        <v>0</v>
      </c>
      <c r="G84" s="39"/>
      <c r="H84" s="14">
        <f t="shared" si="11"/>
        <v>0</v>
      </c>
      <c r="I84" s="39"/>
      <c r="J84" s="10">
        <f t="shared" si="8"/>
        <v>0</v>
      </c>
      <c r="K84" s="39"/>
      <c r="L84" s="11">
        <f t="shared" si="9"/>
        <v>0</v>
      </c>
      <c r="M84" s="39"/>
      <c r="N84" s="11">
        <f t="shared" si="12"/>
        <v>0</v>
      </c>
      <c r="O84" s="21">
        <f t="array" ref="O84">MIN(IF(I189:M189&lt;=0,"",I189:M189))</f>
        <v>0</v>
      </c>
      <c r="P84" s="22">
        <f t="shared" si="13"/>
        <v>0</v>
      </c>
      <c r="Q84" s="21">
        <f t="array" ref="Q84">MIN(IF(B189:F189&lt;=0,"",B189:F189))</f>
        <v>0</v>
      </c>
      <c r="R84" s="22">
        <f t="shared" si="10"/>
        <v>0</v>
      </c>
    </row>
    <row r="85" spans="1:19" ht="17.25" thickBot="1">
      <c r="A85" s="3" t="str">
        <f>IF(B85="","",LARGE($A$7:A84,1)+1)</f>
        <v/>
      </c>
      <c r="B85" s="37"/>
      <c r="C85" s="38"/>
      <c r="D85" s="38"/>
      <c r="E85" s="39"/>
      <c r="F85" s="8">
        <f t="shared" si="7"/>
        <v>0</v>
      </c>
      <c r="G85" s="39"/>
      <c r="H85" s="14">
        <f t="shared" si="11"/>
        <v>0</v>
      </c>
      <c r="I85" s="39"/>
      <c r="J85" s="10">
        <f t="shared" si="8"/>
        <v>0</v>
      </c>
      <c r="K85" s="39"/>
      <c r="L85" s="11">
        <f t="shared" si="9"/>
        <v>0</v>
      </c>
      <c r="M85" s="39"/>
      <c r="N85" s="11">
        <f t="shared" si="12"/>
        <v>0</v>
      </c>
      <c r="O85" s="21">
        <f t="array" ref="O85">MIN(IF(I190:M190&lt;=0,"",I190:M190))</f>
        <v>0</v>
      </c>
      <c r="P85" s="22">
        <f t="shared" si="13"/>
        <v>0</v>
      </c>
      <c r="Q85" s="21">
        <f t="array" ref="Q85">MIN(IF(B190:F190&lt;=0,"",B190:F190))</f>
        <v>0</v>
      </c>
      <c r="R85" s="22">
        <f t="shared" si="10"/>
        <v>0</v>
      </c>
      <c r="S85" s="45"/>
    </row>
    <row r="86" spans="1:19" ht="17.25" thickBot="1">
      <c r="A86" s="3" t="str">
        <f>IF(B86="","",LARGE($A$7:A85,1)+1)</f>
        <v/>
      </c>
      <c r="B86" s="37"/>
      <c r="C86" s="38"/>
      <c r="D86" s="38"/>
      <c r="E86" s="39"/>
      <c r="F86" s="8">
        <f t="shared" si="7"/>
        <v>0</v>
      </c>
      <c r="G86" s="39"/>
      <c r="H86" s="14">
        <f t="shared" si="11"/>
        <v>0</v>
      </c>
      <c r="I86" s="39"/>
      <c r="J86" s="10">
        <f t="shared" si="8"/>
        <v>0</v>
      </c>
      <c r="K86" s="39"/>
      <c r="L86" s="11">
        <f t="shared" si="9"/>
        <v>0</v>
      </c>
      <c r="M86" s="39"/>
      <c r="N86" s="11">
        <f t="shared" si="12"/>
        <v>0</v>
      </c>
      <c r="O86" s="21">
        <f t="array" ref="O86">MIN(IF(I191:M191&lt;=0,"",I191:M191))</f>
        <v>0</v>
      </c>
      <c r="P86" s="22">
        <f t="shared" si="13"/>
        <v>0</v>
      </c>
      <c r="Q86" s="21">
        <f t="array" ref="Q86">MIN(IF(B191:F191&lt;=0,"",B191:F191))</f>
        <v>0</v>
      </c>
      <c r="R86" s="22">
        <f t="shared" si="10"/>
        <v>0</v>
      </c>
      <c r="S86" s="45"/>
    </row>
    <row r="87" spans="1:19" ht="17.25" thickBot="1">
      <c r="A87" s="3" t="str">
        <f>IF(B87="","",LARGE($A$7:A86,1)+1)</f>
        <v/>
      </c>
      <c r="B87" s="37"/>
      <c r="C87" s="38"/>
      <c r="D87" s="38"/>
      <c r="E87" s="39"/>
      <c r="F87" s="8">
        <f t="shared" si="7"/>
        <v>0</v>
      </c>
      <c r="G87" s="39"/>
      <c r="H87" s="14">
        <f>G87*D87</f>
        <v>0</v>
      </c>
      <c r="I87" s="39"/>
      <c r="J87" s="10">
        <f t="shared" si="8"/>
        <v>0</v>
      </c>
      <c r="K87" s="39"/>
      <c r="L87" s="11">
        <f t="shared" si="9"/>
        <v>0</v>
      </c>
      <c r="M87" s="39"/>
      <c r="N87" s="11">
        <f t="shared" si="12"/>
        <v>0</v>
      </c>
      <c r="O87" s="21">
        <f t="array" ref="O87">MIN(IF(I192:M192&lt;=0,"",I192:M192))</f>
        <v>0</v>
      </c>
      <c r="P87" s="22">
        <f t="shared" si="13"/>
        <v>0</v>
      </c>
      <c r="Q87" s="21">
        <f t="array" ref="Q87">MIN(IF(B192:F192&lt;=0,"",B192:F192))</f>
        <v>0</v>
      </c>
      <c r="R87" s="22">
        <f t="shared" si="10"/>
        <v>0</v>
      </c>
    </row>
    <row r="88" spans="1:19" ht="17.25" thickBot="1">
      <c r="A88" s="3" t="str">
        <f>IF(B88="","",LARGE($A$7:A87,1)+1)</f>
        <v/>
      </c>
      <c r="B88" s="37"/>
      <c r="C88" s="38"/>
      <c r="D88" s="38"/>
      <c r="E88" s="39"/>
      <c r="F88" s="8">
        <f t="shared" si="7"/>
        <v>0</v>
      </c>
      <c r="G88" s="39"/>
      <c r="H88" s="14">
        <f t="shared" ref="H88:H98" si="14">G88*D88</f>
        <v>0</v>
      </c>
      <c r="I88" s="39"/>
      <c r="J88" s="10">
        <f t="shared" si="8"/>
        <v>0</v>
      </c>
      <c r="K88" s="39"/>
      <c r="L88" s="11">
        <f t="shared" si="9"/>
        <v>0</v>
      </c>
      <c r="M88" s="39"/>
      <c r="N88" s="11">
        <f t="shared" si="12"/>
        <v>0</v>
      </c>
      <c r="O88" s="21">
        <f t="array" ref="O88">MIN(IF(I193:M193&lt;=0,"",I193:M193))</f>
        <v>0</v>
      </c>
      <c r="P88" s="22">
        <f t="shared" si="13"/>
        <v>0</v>
      </c>
      <c r="Q88" s="21">
        <f t="array" ref="Q88">MIN(IF(B193:F193&lt;=0,"",B193:F193))</f>
        <v>0</v>
      </c>
      <c r="R88" s="22">
        <f t="shared" si="10"/>
        <v>0</v>
      </c>
    </row>
    <row r="89" spans="1:19" ht="17.25" thickBot="1">
      <c r="A89" s="3" t="str">
        <f>IF(B89="","",LARGE($A$7:A88,1)+1)</f>
        <v/>
      </c>
      <c r="B89" s="37"/>
      <c r="C89" s="38"/>
      <c r="D89" s="38"/>
      <c r="E89" s="39"/>
      <c r="F89" s="8">
        <f t="shared" si="7"/>
        <v>0</v>
      </c>
      <c r="G89" s="39"/>
      <c r="H89" s="14">
        <f t="shared" si="14"/>
        <v>0</v>
      </c>
      <c r="I89" s="39"/>
      <c r="J89" s="10">
        <f t="shared" si="8"/>
        <v>0</v>
      </c>
      <c r="K89" s="39"/>
      <c r="L89" s="11">
        <f t="shared" si="9"/>
        <v>0</v>
      </c>
      <c r="M89" s="39"/>
      <c r="N89" s="11">
        <f t="shared" si="12"/>
        <v>0</v>
      </c>
      <c r="O89" s="21">
        <f t="array" ref="O89">MIN(IF(I194:M194&lt;=0,"",I194:M194))</f>
        <v>0</v>
      </c>
      <c r="P89" s="22">
        <f t="shared" si="13"/>
        <v>0</v>
      </c>
      <c r="Q89" s="21">
        <f t="array" ref="Q89">MIN(IF(B194:F194&lt;=0,"",B194:F194))</f>
        <v>0</v>
      </c>
      <c r="R89" s="22">
        <f t="shared" si="10"/>
        <v>0</v>
      </c>
    </row>
    <row r="90" spans="1:19" ht="17.25" thickBot="1">
      <c r="A90" s="3" t="str">
        <f>IF(B90="","",LARGE($A$7:A89,1)+1)</f>
        <v/>
      </c>
      <c r="B90" s="37"/>
      <c r="C90" s="38"/>
      <c r="D90" s="38"/>
      <c r="E90" s="39"/>
      <c r="F90" s="8">
        <f t="shared" si="7"/>
        <v>0</v>
      </c>
      <c r="G90" s="39"/>
      <c r="H90" s="14">
        <f t="shared" si="14"/>
        <v>0</v>
      </c>
      <c r="I90" s="39"/>
      <c r="J90" s="10">
        <f t="shared" si="8"/>
        <v>0</v>
      </c>
      <c r="K90" s="39"/>
      <c r="L90" s="11">
        <f t="shared" si="9"/>
        <v>0</v>
      </c>
      <c r="M90" s="39"/>
      <c r="N90" s="11">
        <f t="shared" si="12"/>
        <v>0</v>
      </c>
      <c r="O90" s="21">
        <f t="array" ref="O90">MIN(IF(I195:M195&lt;=0,"",I195:M195))</f>
        <v>0</v>
      </c>
      <c r="P90" s="22">
        <f t="shared" si="13"/>
        <v>0</v>
      </c>
      <c r="Q90" s="21">
        <f t="array" ref="Q90">MIN(IF(B195:F195&lt;=0,"",B195:F195))</f>
        <v>0</v>
      </c>
      <c r="R90" s="22">
        <f t="shared" si="10"/>
        <v>0</v>
      </c>
      <c r="S90" s="45"/>
    </row>
    <row r="91" spans="1:19" ht="17.25" thickBot="1">
      <c r="A91" s="3" t="str">
        <f>IF(B91="","",LARGE($A$7:A90,1)+1)</f>
        <v/>
      </c>
      <c r="B91" s="37"/>
      <c r="C91" s="38"/>
      <c r="D91" s="38"/>
      <c r="E91" s="39"/>
      <c r="F91" s="8">
        <f t="shared" si="7"/>
        <v>0</v>
      </c>
      <c r="G91" s="39"/>
      <c r="H91" s="14">
        <f t="shared" si="14"/>
        <v>0</v>
      </c>
      <c r="I91" s="39"/>
      <c r="J91" s="10">
        <f t="shared" si="8"/>
        <v>0</v>
      </c>
      <c r="K91" s="39"/>
      <c r="L91" s="11">
        <f t="shared" si="9"/>
        <v>0</v>
      </c>
      <c r="M91" s="39"/>
      <c r="N91" s="11">
        <f t="shared" si="12"/>
        <v>0</v>
      </c>
      <c r="O91" s="21">
        <f t="array" ref="O91">MIN(IF(I196:M196&lt;=0,"",I196:M196))</f>
        <v>0</v>
      </c>
      <c r="P91" s="22">
        <f t="shared" si="13"/>
        <v>0</v>
      </c>
      <c r="Q91" s="21">
        <f t="array" ref="Q91">MIN(IF(B196:F196&lt;=0,"",B196:F196))</f>
        <v>0</v>
      </c>
      <c r="R91" s="22">
        <f t="shared" si="10"/>
        <v>0</v>
      </c>
      <c r="S91" s="45"/>
    </row>
    <row r="92" spans="1:19" ht="17.25" thickBot="1">
      <c r="A92" s="3" t="str">
        <f>IF(B92="","",LARGE($A$7:A91,1)+1)</f>
        <v/>
      </c>
      <c r="B92" s="37"/>
      <c r="C92" s="38"/>
      <c r="D92" s="38"/>
      <c r="E92" s="39"/>
      <c r="F92" s="8">
        <f t="shared" si="7"/>
        <v>0</v>
      </c>
      <c r="G92" s="39"/>
      <c r="H92" s="14">
        <f t="shared" si="14"/>
        <v>0</v>
      </c>
      <c r="I92" s="39"/>
      <c r="J92" s="10">
        <f t="shared" si="8"/>
        <v>0</v>
      </c>
      <c r="K92" s="39"/>
      <c r="L92" s="11">
        <f t="shared" si="9"/>
        <v>0</v>
      </c>
      <c r="M92" s="39"/>
      <c r="N92" s="11">
        <f t="shared" si="12"/>
        <v>0</v>
      </c>
      <c r="O92" s="21">
        <f t="array" ref="O92">MIN(IF(I197:M197&lt;=0,"",I197:M197))</f>
        <v>0</v>
      </c>
      <c r="P92" s="22">
        <f t="shared" si="13"/>
        <v>0</v>
      </c>
      <c r="Q92" s="21">
        <f t="array" ref="Q92">MIN(IF(B197:F197&lt;=0,"",B197:F197))</f>
        <v>0</v>
      </c>
      <c r="R92" s="22">
        <f t="shared" si="10"/>
        <v>0</v>
      </c>
    </row>
    <row r="93" spans="1:19" ht="17.25" thickBot="1">
      <c r="A93" s="3" t="str">
        <f>IF(B93="","",LARGE($A$7:A92,1)+1)</f>
        <v/>
      </c>
      <c r="B93" s="37"/>
      <c r="C93" s="38"/>
      <c r="D93" s="38"/>
      <c r="E93" s="39"/>
      <c r="F93" s="8">
        <f t="shared" si="7"/>
        <v>0</v>
      </c>
      <c r="G93" s="39"/>
      <c r="H93" s="14">
        <f t="shared" si="14"/>
        <v>0</v>
      </c>
      <c r="I93" s="39"/>
      <c r="J93" s="10">
        <f t="shared" si="8"/>
        <v>0</v>
      </c>
      <c r="K93" s="39"/>
      <c r="L93" s="11">
        <f t="shared" si="9"/>
        <v>0</v>
      </c>
      <c r="M93" s="39"/>
      <c r="N93" s="11">
        <f t="shared" si="12"/>
        <v>0</v>
      </c>
      <c r="O93" s="21">
        <f t="array" ref="O93">MIN(IF(I198:M198&lt;=0,"",I198:M198))</f>
        <v>0</v>
      </c>
      <c r="P93" s="22">
        <f t="shared" si="13"/>
        <v>0</v>
      </c>
      <c r="Q93" s="21">
        <f t="array" ref="Q93">MIN(IF(B198:F198&lt;=0,"",B198:F198))</f>
        <v>0</v>
      </c>
      <c r="R93" s="22">
        <f t="shared" si="10"/>
        <v>0</v>
      </c>
    </row>
    <row r="94" spans="1:19" ht="17.25" thickBot="1">
      <c r="A94" s="3" t="str">
        <f>IF(B94="","",LARGE($A$7:A93,1)+1)</f>
        <v/>
      </c>
      <c r="B94" s="37"/>
      <c r="C94" s="38"/>
      <c r="D94" s="38"/>
      <c r="E94" s="39"/>
      <c r="F94" s="8">
        <f t="shared" si="7"/>
        <v>0</v>
      </c>
      <c r="G94" s="39"/>
      <c r="H94" s="14">
        <f t="shared" si="14"/>
        <v>0</v>
      </c>
      <c r="I94" s="39"/>
      <c r="J94" s="10">
        <f t="shared" si="8"/>
        <v>0</v>
      </c>
      <c r="K94" s="39"/>
      <c r="L94" s="11">
        <f t="shared" si="9"/>
        <v>0</v>
      </c>
      <c r="M94" s="39"/>
      <c r="N94" s="11">
        <f t="shared" si="12"/>
        <v>0</v>
      </c>
      <c r="O94" s="21">
        <f t="array" ref="O94">MIN(IF(I199:M199&lt;=0,"",I199:M199))</f>
        <v>0</v>
      </c>
      <c r="P94" s="22">
        <f t="shared" si="13"/>
        <v>0</v>
      </c>
      <c r="Q94" s="21">
        <f t="array" ref="Q94">MIN(IF(B199:F199&lt;=0,"",B199:F199))</f>
        <v>0</v>
      </c>
      <c r="R94" s="22">
        <f t="shared" si="10"/>
        <v>0</v>
      </c>
    </row>
    <row r="95" spans="1:19" ht="17.25" thickBot="1">
      <c r="A95" s="3" t="str">
        <f>IF(B95="","",LARGE($A$7:A94,1)+1)</f>
        <v/>
      </c>
      <c r="B95" s="37"/>
      <c r="C95" s="38"/>
      <c r="D95" s="38"/>
      <c r="E95" s="39"/>
      <c r="F95" s="8">
        <f t="shared" si="7"/>
        <v>0</v>
      </c>
      <c r="G95" s="39"/>
      <c r="H95" s="14">
        <f t="shared" si="14"/>
        <v>0</v>
      </c>
      <c r="I95" s="39"/>
      <c r="J95" s="10">
        <f t="shared" si="8"/>
        <v>0</v>
      </c>
      <c r="K95" s="39"/>
      <c r="L95" s="11">
        <f t="shared" si="9"/>
        <v>0</v>
      </c>
      <c r="M95" s="39"/>
      <c r="N95" s="11">
        <f t="shared" si="12"/>
        <v>0</v>
      </c>
      <c r="O95" s="21">
        <f t="array" ref="O95">MIN(IF(I200:M200&lt;=0,"",I200:M200))</f>
        <v>0</v>
      </c>
      <c r="P95" s="22">
        <f t="shared" si="13"/>
        <v>0</v>
      </c>
      <c r="Q95" s="21">
        <f t="array" ref="Q95">MIN(IF(B200:F200&lt;=0,"",B200:F200))</f>
        <v>0</v>
      </c>
      <c r="R95" s="22">
        <f t="shared" si="10"/>
        <v>0</v>
      </c>
      <c r="S95" s="45"/>
    </row>
    <row r="96" spans="1:19" ht="17.25" thickBot="1">
      <c r="A96" s="3" t="str">
        <f>IF(B96="","",LARGE($A$7:A95,1)+1)</f>
        <v/>
      </c>
      <c r="B96" s="37"/>
      <c r="C96" s="38"/>
      <c r="D96" s="38"/>
      <c r="E96" s="39"/>
      <c r="F96" s="8">
        <f t="shared" si="7"/>
        <v>0</v>
      </c>
      <c r="G96" s="39"/>
      <c r="H96" s="14">
        <f t="shared" si="14"/>
        <v>0</v>
      </c>
      <c r="I96" s="39"/>
      <c r="J96" s="10">
        <f t="shared" si="8"/>
        <v>0</v>
      </c>
      <c r="K96" s="39"/>
      <c r="L96" s="11">
        <f t="shared" si="9"/>
        <v>0</v>
      </c>
      <c r="M96" s="39"/>
      <c r="N96" s="11">
        <f t="shared" si="12"/>
        <v>0</v>
      </c>
      <c r="O96" s="21">
        <f t="array" ref="O96">MIN(IF(I201:M201&lt;=0,"",I201:M201))</f>
        <v>0</v>
      </c>
      <c r="P96" s="22">
        <f t="shared" si="13"/>
        <v>0</v>
      </c>
      <c r="Q96" s="21">
        <f t="array" ref="Q96">MIN(IF(B201:F201&lt;=0,"",B201:F201))</f>
        <v>0</v>
      </c>
      <c r="R96" s="22">
        <f t="shared" si="10"/>
        <v>0</v>
      </c>
      <c r="S96" s="45"/>
    </row>
    <row r="97" spans="1:21" ht="17.25" thickBot="1">
      <c r="A97" s="3" t="str">
        <f>IF(B97="","",LARGE($A$7:A96,1)+1)</f>
        <v/>
      </c>
      <c r="B97" s="37"/>
      <c r="C97" s="38"/>
      <c r="D97" s="38"/>
      <c r="E97" s="39"/>
      <c r="F97" s="8">
        <f t="shared" si="7"/>
        <v>0</v>
      </c>
      <c r="G97" s="39"/>
      <c r="H97" s="14">
        <f t="shared" si="14"/>
        <v>0</v>
      </c>
      <c r="I97" s="39"/>
      <c r="J97" s="10">
        <f t="shared" si="8"/>
        <v>0</v>
      </c>
      <c r="K97" s="39"/>
      <c r="L97" s="11">
        <f t="shared" si="9"/>
        <v>0</v>
      </c>
      <c r="M97" s="39"/>
      <c r="N97" s="11">
        <f t="shared" si="12"/>
        <v>0</v>
      </c>
      <c r="O97" s="21">
        <f t="array" ref="O97">MIN(IF(I202:M202&lt;=0,"",I202:M202))</f>
        <v>0</v>
      </c>
      <c r="P97" s="22">
        <f t="shared" si="13"/>
        <v>0</v>
      </c>
      <c r="Q97" s="21">
        <f t="array" ref="Q97">MIN(IF(B202:F202&lt;=0,"",B202:F202))</f>
        <v>0</v>
      </c>
      <c r="R97" s="22">
        <f t="shared" si="10"/>
        <v>0</v>
      </c>
    </row>
    <row r="98" spans="1:21" ht="17.25" thickBot="1">
      <c r="A98" s="3" t="str">
        <f>IF(B98="","",LARGE($A$7:A97,1)+1)</f>
        <v/>
      </c>
      <c r="B98" s="37"/>
      <c r="C98" s="38"/>
      <c r="D98" s="38"/>
      <c r="E98" s="39"/>
      <c r="F98" s="8">
        <f t="shared" si="7"/>
        <v>0</v>
      </c>
      <c r="G98" s="20"/>
      <c r="H98" s="14">
        <f t="shared" si="14"/>
        <v>0</v>
      </c>
      <c r="I98" s="39"/>
      <c r="J98" s="10">
        <f t="shared" si="8"/>
        <v>0</v>
      </c>
      <c r="K98" s="39"/>
      <c r="L98" s="11">
        <f t="shared" si="9"/>
        <v>0</v>
      </c>
      <c r="M98" s="39"/>
      <c r="N98" s="11">
        <f t="shared" si="12"/>
        <v>0</v>
      </c>
      <c r="O98" s="21">
        <f t="array" ref="O98">MIN(IF(I203:M203&lt;=0,"",I203:M203))</f>
        <v>0</v>
      </c>
      <c r="P98" s="22">
        <f t="shared" si="13"/>
        <v>0</v>
      </c>
      <c r="Q98" s="21">
        <f t="array" ref="Q98">MIN(IF(B199:F199&lt;=0,"",B199:F199))</f>
        <v>0</v>
      </c>
      <c r="R98" s="22">
        <f t="shared" si="10"/>
        <v>0</v>
      </c>
    </row>
    <row r="99" spans="1:21" ht="17.25" thickBot="1">
      <c r="A99" s="1"/>
      <c r="B99" s="73" t="s">
        <v>4</v>
      </c>
      <c r="C99" s="74"/>
      <c r="D99" s="75"/>
      <c r="E99" s="76">
        <f>SUM(F7:F98)</f>
        <v>0</v>
      </c>
      <c r="F99" s="77"/>
      <c r="G99" s="78">
        <f>SUM(H8:H98)</f>
        <v>0</v>
      </c>
      <c r="H99" s="77"/>
      <c r="I99" s="78">
        <f>SUM(J7:J98)</f>
        <v>0</v>
      </c>
      <c r="J99" s="76"/>
      <c r="K99" s="78">
        <f>SUM(L7:L98)</f>
        <v>0</v>
      </c>
      <c r="L99" s="77"/>
      <c r="M99" s="78">
        <f>SUM(N7:N98)</f>
        <v>0</v>
      </c>
      <c r="N99" s="77"/>
      <c r="O99" s="27"/>
      <c r="Q99" s="18">
        <f t="array" ref="Q99">MIN(IF(E99:M99&lt;=0,"",E99:M99))</f>
        <v>0</v>
      </c>
      <c r="R99" s="18">
        <f>MAX(E99,G99,I99,K99,M99)</f>
        <v>0</v>
      </c>
    </row>
    <row r="100" spans="1:21" ht="17.25" thickBot="1">
      <c r="A100" s="49"/>
      <c r="B100" s="49"/>
      <c r="C100" s="79" t="s">
        <v>6</v>
      </c>
      <c r="D100" s="80"/>
      <c r="E100" s="81">
        <f>SUMIF($G$112:$G$203,IF(E4="","Empresa 1",E4),F7:F98)</f>
        <v>0</v>
      </c>
      <c r="F100" s="82"/>
      <c r="G100" s="71">
        <f>SUMIF($N$112:$N$203,IF(G4="","Empresa 2",G4),H7:H98)</f>
        <v>0</v>
      </c>
      <c r="H100" s="72"/>
      <c r="I100" s="71">
        <f>SUMIF($N$112:$N$203,IF(I4="","Empresa 3",I4),J7:J98)</f>
        <v>0</v>
      </c>
      <c r="J100" s="72"/>
      <c r="K100" s="71">
        <f>SUMIF($N$112:$N$203,IF(K4="","Empresa 4",K4),L7:L98)</f>
        <v>0</v>
      </c>
      <c r="L100" s="72"/>
      <c r="M100" s="71">
        <f>SUMIF($N$112:$N$203,IF(M4="","Empresa 5",M4),N7:N98)</f>
        <v>0</v>
      </c>
      <c r="N100" s="72"/>
      <c r="O100" s="9"/>
    </row>
    <row r="101" spans="1:21" ht="17.25" thickBot="1">
      <c r="A101" s="49"/>
      <c r="B101" s="49" t="s">
        <v>16</v>
      </c>
      <c r="C101" s="35" t="s">
        <v>15</v>
      </c>
      <c r="D101" s="50" t="s">
        <v>16</v>
      </c>
      <c r="E101" s="83"/>
      <c r="F101" s="84"/>
      <c r="G101" s="83"/>
      <c r="H101" s="84"/>
      <c r="I101" s="83"/>
      <c r="J101" s="84"/>
      <c r="K101" s="83"/>
      <c r="L101" s="84"/>
      <c r="M101" s="83"/>
      <c r="N101" s="84"/>
      <c r="O101" s="9"/>
    </row>
    <row r="102" spans="1:21" ht="17.25" thickBot="1">
      <c r="A102" s="49"/>
      <c r="B102" s="49" t="s">
        <v>18</v>
      </c>
      <c r="C102" s="79" t="s">
        <v>7</v>
      </c>
      <c r="D102" s="80"/>
      <c r="E102" s="91">
        <f>IF($D$101="%",E100*(1-E101/100),E100-E101)</f>
        <v>0</v>
      </c>
      <c r="F102" s="92"/>
      <c r="G102" s="91">
        <f t="shared" ref="G102" si="15">IF($D$101="%",G100*(1-G101/100),G100-G101)</f>
        <v>0</v>
      </c>
      <c r="H102" s="92"/>
      <c r="I102" s="91">
        <f t="shared" ref="I102" si="16">IF($D$101="%",I100*(1-I101/100),I100-I101)</f>
        <v>0</v>
      </c>
      <c r="J102" s="92"/>
      <c r="K102" s="91">
        <f t="shared" ref="K102" si="17">IF($D$101="%",K100*(1-K101/100),K100-K101)</f>
        <v>0</v>
      </c>
      <c r="L102" s="92"/>
      <c r="M102" s="91">
        <f t="shared" ref="M102" si="18">IF($D$101="%",M100*(1-M101/100),M100-M101)</f>
        <v>0</v>
      </c>
      <c r="N102" s="92"/>
      <c r="O102" s="9"/>
    </row>
    <row r="103" spans="1:21" ht="27.75" thickBot="1">
      <c r="A103" s="49"/>
      <c r="B103" s="49"/>
      <c r="C103" s="93" t="s">
        <v>4</v>
      </c>
      <c r="D103" s="94"/>
      <c r="E103" s="95"/>
      <c r="F103" s="96">
        <f>SUM(E102,G102,I102,K102,M102)</f>
        <v>0</v>
      </c>
      <c r="G103" s="97"/>
      <c r="H103" s="97"/>
      <c r="I103" s="97"/>
      <c r="J103" s="98"/>
      <c r="K103" s="99"/>
      <c r="L103" s="100"/>
      <c r="M103" s="12"/>
      <c r="N103" s="9"/>
      <c r="O103" s="30"/>
    </row>
    <row r="104" spans="1:21" ht="21" thickBot="1">
      <c r="A104" s="49"/>
      <c r="B104" s="49"/>
      <c r="C104" s="101" t="s">
        <v>10</v>
      </c>
      <c r="D104" s="102"/>
      <c r="E104" s="103"/>
      <c r="F104" s="104">
        <f>SUM(R7:R98)</f>
        <v>0</v>
      </c>
      <c r="G104" s="105"/>
      <c r="H104" s="105"/>
      <c r="I104" s="105"/>
      <c r="J104" s="106"/>
      <c r="K104" s="48"/>
      <c r="L104" s="30"/>
      <c r="M104" s="30"/>
      <c r="N104" s="30"/>
      <c r="O104" s="30"/>
    </row>
    <row r="105" spans="1:21" ht="21" thickBot="1">
      <c r="A105" s="25"/>
      <c r="B105" s="25"/>
      <c r="C105" s="108" t="s">
        <v>11</v>
      </c>
      <c r="D105" s="109"/>
      <c r="E105" s="110"/>
      <c r="F105" s="85">
        <f>F104-F103</f>
        <v>0</v>
      </c>
      <c r="G105" s="86"/>
      <c r="H105" s="86"/>
      <c r="I105" s="86"/>
      <c r="J105" s="87"/>
      <c r="K105" s="48"/>
      <c r="L105" s="30"/>
      <c r="M105" s="30"/>
      <c r="N105" s="30"/>
      <c r="O105" s="30"/>
    </row>
    <row r="106" spans="1:21" ht="27.75" thickBot="1">
      <c r="A106" s="25"/>
      <c r="B106" s="25"/>
      <c r="C106" s="88" t="s">
        <v>17</v>
      </c>
      <c r="D106" s="89"/>
      <c r="E106" s="89"/>
      <c r="F106" s="89"/>
      <c r="G106" s="89"/>
      <c r="H106" s="89"/>
      <c r="I106" s="89"/>
      <c r="J106" s="90"/>
    </row>
    <row r="107" spans="1:21">
      <c r="A107" s="25"/>
      <c r="B107" s="25"/>
      <c r="D107" s="4"/>
      <c r="E107" s="4"/>
      <c r="F107" s="4"/>
      <c r="G107" s="5"/>
      <c r="H107" s="2"/>
      <c r="I107" s="6"/>
      <c r="J107" s="36" t="s">
        <v>17</v>
      </c>
    </row>
    <row r="108" spans="1:21" ht="15.75" hidden="1" thickBot="1">
      <c r="A108" s="24"/>
      <c r="B108" s="18">
        <f>COUNTIF($G$112:$G$203,"="&amp;B110)</f>
        <v>0</v>
      </c>
      <c r="C108" s="18">
        <f t="shared" ref="C108:F108" si="19">COUNTIF($G$112:$G$203,"="&amp;C110)</f>
        <v>0</v>
      </c>
      <c r="D108" s="18">
        <f t="shared" si="19"/>
        <v>0</v>
      </c>
      <c r="E108" s="18">
        <f t="shared" si="19"/>
        <v>0</v>
      </c>
      <c r="F108" s="18">
        <f t="shared" si="19"/>
        <v>0</v>
      </c>
      <c r="Q108" s="18">
        <f>ROW(B211)</f>
        <v>211</v>
      </c>
      <c r="R108" s="18">
        <v>308</v>
      </c>
      <c r="S108" s="18">
        <v>405</v>
      </c>
      <c r="T108" s="18">
        <v>502</v>
      </c>
      <c r="U108" s="18">
        <v>599</v>
      </c>
    </row>
    <row r="109" spans="1:21" hidden="1">
      <c r="B109" s="26"/>
      <c r="C109" s="27"/>
      <c r="D109" s="27"/>
      <c r="E109" s="27"/>
      <c r="F109" s="27"/>
      <c r="G109" s="28"/>
      <c r="I109" s="26"/>
      <c r="J109" s="27"/>
      <c r="K109" s="27"/>
      <c r="L109" s="27"/>
      <c r="M109" s="28"/>
      <c r="Q109">
        <f>ROW(D306)</f>
        <v>306</v>
      </c>
      <c r="R109" s="18">
        <v>403</v>
      </c>
      <c r="S109" s="18">
        <v>500</v>
      </c>
      <c r="T109" s="18">
        <v>597</v>
      </c>
      <c r="U109" s="18">
        <v>564</v>
      </c>
    </row>
    <row r="110" spans="1:21" hidden="1">
      <c r="B110" s="29" t="str">
        <f>IF($E$4="","Empresa 1",$E$4)</f>
        <v>Empresa 1</v>
      </c>
      <c r="C110" s="30" t="str">
        <f>IF($G$4="","Empresa 2",$G$4)</f>
        <v>Empresa 2</v>
      </c>
      <c r="D110" s="30" t="str">
        <f>IF($I$4="","Empresa 3",$I$4)</f>
        <v>Empresa 3</v>
      </c>
      <c r="E110" s="30" t="str">
        <f>IF($K$4="","Empresa 4",$K$4)</f>
        <v>Empresa 4</v>
      </c>
      <c r="F110" s="30" t="str">
        <f>IF($M$4="","Empresa 5",$M$4)</f>
        <v>Empresa 5</v>
      </c>
      <c r="G110" s="31"/>
      <c r="I110" s="29" t="str">
        <f>IF($E$4="","Empresa 1",$E$4)</f>
        <v>Empresa 1</v>
      </c>
      <c r="J110" s="30" t="str">
        <f>IF($G$4="","Empresa 2",$G$4)</f>
        <v>Empresa 2</v>
      </c>
      <c r="K110" s="30" t="str">
        <f>IF($I$4="","Empresa 3",$I$4)</f>
        <v>Empresa 3</v>
      </c>
      <c r="L110" s="30" t="str">
        <f>IF($K$4="","Empresa 4",$K$4)</f>
        <v>Empresa 4</v>
      </c>
      <c r="M110" s="31" t="str">
        <f>IF($M$4="","Empresa 5",$M$4)</f>
        <v>Empresa 5</v>
      </c>
      <c r="Q110" s="52">
        <f>MAX(Q112:Q203)</f>
        <v>0</v>
      </c>
      <c r="R110" s="52">
        <f t="shared" ref="R110:U110" si="20">MAX(R112:R203)</f>
        <v>0</v>
      </c>
      <c r="S110" s="52">
        <f t="shared" si="20"/>
        <v>0</v>
      </c>
      <c r="T110" s="52">
        <f t="shared" si="20"/>
        <v>0</v>
      </c>
      <c r="U110" s="52">
        <f t="shared" si="20"/>
        <v>0</v>
      </c>
    </row>
    <row r="111" spans="1:21" hidden="1">
      <c r="B111" s="29" t="s">
        <v>4</v>
      </c>
      <c r="C111" s="30" t="s">
        <v>4</v>
      </c>
      <c r="D111" s="30" t="s">
        <v>4</v>
      </c>
      <c r="E111" s="30" t="s">
        <v>4</v>
      </c>
      <c r="F111" s="30" t="s">
        <v>4</v>
      </c>
      <c r="G111" s="31" t="s">
        <v>13</v>
      </c>
      <c r="I111" s="29" t="s">
        <v>4</v>
      </c>
      <c r="J111" s="30" t="s">
        <v>4</v>
      </c>
      <c r="K111" s="30" t="s">
        <v>4</v>
      </c>
      <c r="L111" s="30" t="s">
        <v>4</v>
      </c>
      <c r="M111" s="31" t="s">
        <v>4</v>
      </c>
      <c r="N111" s="18" t="s">
        <v>13</v>
      </c>
      <c r="Q111" s="54" t="str">
        <f>I110</f>
        <v>Empresa 1</v>
      </c>
      <c r="R111" s="54" t="str">
        <f t="shared" ref="R111:U111" si="21">J110</f>
        <v>Empresa 2</v>
      </c>
      <c r="S111" s="54" t="str">
        <f t="shared" si="21"/>
        <v>Empresa 3</v>
      </c>
      <c r="T111" s="54" t="str">
        <f t="shared" si="21"/>
        <v>Empresa 4</v>
      </c>
      <c r="U111" s="54" t="str">
        <f t="shared" si="21"/>
        <v>Empresa 5</v>
      </c>
    </row>
    <row r="112" spans="1:21" hidden="1">
      <c r="A112" s="18" t="str">
        <f>A7</f>
        <v/>
      </c>
      <c r="B112" s="29">
        <f>F7</f>
        <v>0</v>
      </c>
      <c r="C112" s="30">
        <f>H7</f>
        <v>0</v>
      </c>
      <c r="D112" s="30">
        <f>J7</f>
        <v>0</v>
      </c>
      <c r="E112" s="30">
        <f>L7</f>
        <v>0</v>
      </c>
      <c r="F112" s="30">
        <f>N7</f>
        <v>0</v>
      </c>
      <c r="G112" s="31" t="str">
        <f t="shared" ref="G112:G143" si="22">IF(SUM(B112:F112)=0,"",INDEX($B$110:$F$110,MATCH(Q7,B112:F112,0)))</f>
        <v/>
      </c>
      <c r="I112" s="29">
        <f>E7</f>
        <v>0</v>
      </c>
      <c r="J112" s="30">
        <f>G7</f>
        <v>0</v>
      </c>
      <c r="K112" s="30">
        <f>I7</f>
        <v>0</v>
      </c>
      <c r="L112" s="30">
        <f>K7</f>
        <v>0</v>
      </c>
      <c r="M112" s="31">
        <f>M7</f>
        <v>0</v>
      </c>
      <c r="N112" s="18" t="str">
        <f>IF(SUM(I112:M112)=0,"",INDEX($I$110:$M$110,MATCH(O7,I112:M112,0)))</f>
        <v/>
      </c>
      <c r="O112" s="52"/>
      <c r="P112" s="52"/>
      <c r="Q112" s="53" t="str">
        <f>IF($N112="","",IF($N112=Q$111,1,""))</f>
        <v/>
      </c>
      <c r="R112" s="53" t="str">
        <f t="shared" ref="R112:U112" si="23">IF($N112="","",IF($N112=R$111,1,""))</f>
        <v/>
      </c>
      <c r="S112" s="53" t="str">
        <f t="shared" si="23"/>
        <v/>
      </c>
      <c r="T112" s="53" t="str">
        <f t="shared" si="23"/>
        <v/>
      </c>
      <c r="U112" s="53" t="str">
        <f t="shared" si="23"/>
        <v/>
      </c>
    </row>
    <row r="113" spans="1:21" hidden="1">
      <c r="A113" s="18" t="str">
        <f t="shared" ref="A113:A176" si="24">A8</f>
        <v/>
      </c>
      <c r="B113" s="29">
        <f t="shared" ref="B113:B176" si="25">F8</f>
        <v>0</v>
      </c>
      <c r="C113" s="30">
        <f t="shared" ref="C113:C176" si="26">H8</f>
        <v>0</v>
      </c>
      <c r="D113" s="30">
        <f t="shared" ref="D113:D176" si="27">J8</f>
        <v>0</v>
      </c>
      <c r="E113" s="30">
        <f t="shared" ref="E113:E176" si="28">L8</f>
        <v>0</v>
      </c>
      <c r="F113" s="30">
        <f t="shared" ref="F113:F176" si="29">N8</f>
        <v>0</v>
      </c>
      <c r="G113" s="31" t="str">
        <f t="shared" si="22"/>
        <v/>
      </c>
      <c r="I113" s="29">
        <f t="shared" ref="I113:I176" si="30">E8</f>
        <v>0</v>
      </c>
      <c r="J113" s="30">
        <f t="shared" ref="J113:J176" si="31">G8</f>
        <v>0</v>
      </c>
      <c r="K113" s="30">
        <f t="shared" ref="K113:K176" si="32">I8</f>
        <v>0</v>
      </c>
      <c r="L113" s="30">
        <f t="shared" ref="L113:L176" si="33">K8</f>
        <v>0</v>
      </c>
      <c r="M113" s="31">
        <f t="shared" ref="M113:M176" si="34">M8</f>
        <v>0</v>
      </c>
      <c r="N113" s="18" t="str">
        <f t="shared" ref="N113:N176" si="35">IF(SUM(I113:M113)=0,"",INDEX($I$110:$M$110,MATCH(O8,I113:M113,0)))</f>
        <v/>
      </c>
      <c r="O113" s="52"/>
      <c r="Q113" s="53" t="str">
        <f>IFERROR(IF($N113="","",IF($N113=Q$111,LARGE(Q$112:Q112,1)+1,"")),1)</f>
        <v/>
      </c>
      <c r="R113" s="53" t="str">
        <f>IFERROR(IF($N113="","",IF($N113=R$111,LARGE(R$112:R112,1)+1,"")),1)</f>
        <v/>
      </c>
      <c r="S113" s="53" t="str">
        <f>IFERROR(IF($N113="","",IF($N113=S$111,LARGE(S$112:S112,1)+1,"")),1)</f>
        <v/>
      </c>
      <c r="T113" s="53" t="str">
        <f>IFERROR(IF($N113="","",IF($N113=T$111,LARGE(T$112:T112,1)+1,"")),1)</f>
        <v/>
      </c>
      <c r="U113" s="53" t="str">
        <f>IFERROR(IF($N113="","",IF($N113=U$111,LARGE(U$112:U112,1)+1,"")),1)</f>
        <v/>
      </c>
    </row>
    <row r="114" spans="1:21" hidden="1">
      <c r="A114" s="18" t="str">
        <f t="shared" si="24"/>
        <v/>
      </c>
      <c r="B114" s="29">
        <f t="shared" si="25"/>
        <v>0</v>
      </c>
      <c r="C114" s="30">
        <f t="shared" si="26"/>
        <v>0</v>
      </c>
      <c r="D114" s="30">
        <f t="shared" si="27"/>
        <v>0</v>
      </c>
      <c r="E114" s="30">
        <f t="shared" si="28"/>
        <v>0</v>
      </c>
      <c r="F114" s="30">
        <f t="shared" si="29"/>
        <v>0</v>
      </c>
      <c r="G114" s="31" t="str">
        <f t="shared" si="22"/>
        <v/>
      </c>
      <c r="I114" s="29">
        <f t="shared" si="30"/>
        <v>0</v>
      </c>
      <c r="J114" s="30">
        <f>G9</f>
        <v>0</v>
      </c>
      <c r="K114" s="30">
        <f t="shared" si="32"/>
        <v>0</v>
      </c>
      <c r="L114" s="30">
        <f t="shared" si="33"/>
        <v>0</v>
      </c>
      <c r="M114" s="31">
        <f t="shared" si="34"/>
        <v>0</v>
      </c>
      <c r="N114" s="18" t="str">
        <f t="shared" si="35"/>
        <v/>
      </c>
      <c r="O114" s="52"/>
      <c r="Q114" s="53" t="str">
        <f>IFERROR(IF($N114="","",IF($N114=Q$111,LARGE(Q$112:Q113,1)+1,"")),1)</f>
        <v/>
      </c>
      <c r="R114" s="53" t="str">
        <f>IFERROR(IF($N114="","",IF($N114=R$111,LARGE(R$112:R113,1)+1,"")),1)</f>
        <v/>
      </c>
      <c r="S114" s="53" t="str">
        <f>IFERROR(IF($N114="","",IF($N114=S$111,LARGE(S$112:S113,1)+1,"")),1)</f>
        <v/>
      </c>
      <c r="T114" s="53" t="str">
        <f>IFERROR(IF($N114="","",IF($N114=T$111,LARGE(T$112:T113,1)+1,"")),1)</f>
        <v/>
      </c>
      <c r="U114" s="53" t="str">
        <f>IFERROR(IF($N114="","",IF($N114=U$111,LARGE(U$112:U113,1)+1,"")),1)</f>
        <v/>
      </c>
    </row>
    <row r="115" spans="1:21" hidden="1">
      <c r="A115" s="18" t="str">
        <f t="shared" si="24"/>
        <v/>
      </c>
      <c r="B115" s="29">
        <f t="shared" si="25"/>
        <v>0</v>
      </c>
      <c r="C115" s="30">
        <f t="shared" si="26"/>
        <v>0</v>
      </c>
      <c r="D115" s="30">
        <f t="shared" si="27"/>
        <v>0</v>
      </c>
      <c r="E115" s="30">
        <f t="shared" si="28"/>
        <v>0</v>
      </c>
      <c r="F115" s="30">
        <f t="shared" si="29"/>
        <v>0</v>
      </c>
      <c r="G115" s="31" t="str">
        <f t="shared" si="22"/>
        <v/>
      </c>
      <c r="I115" s="29">
        <f t="shared" si="30"/>
        <v>0</v>
      </c>
      <c r="J115" s="30">
        <f t="shared" si="31"/>
        <v>0</v>
      </c>
      <c r="K115" s="30">
        <f t="shared" si="32"/>
        <v>0</v>
      </c>
      <c r="L115" s="30">
        <f t="shared" si="33"/>
        <v>0</v>
      </c>
      <c r="M115" s="31">
        <f t="shared" si="34"/>
        <v>0</v>
      </c>
      <c r="N115" s="18" t="str">
        <f t="shared" si="35"/>
        <v/>
      </c>
      <c r="O115" s="52"/>
      <c r="Q115" s="53" t="str">
        <f>IFERROR(IF($N115="","",IF($N115=Q$111,LARGE(Q$112:Q114,1)+1,"")),1)</f>
        <v/>
      </c>
      <c r="R115" s="53" t="str">
        <f>IFERROR(IF($N115="","",IF($N115=R$111,LARGE(R$112:R114,1)+1,"")),1)</f>
        <v/>
      </c>
      <c r="S115" s="53" t="str">
        <f>IFERROR(IF($N115="","",IF($N115=S$111,LARGE(S$112:S114,1)+1,"")),1)</f>
        <v/>
      </c>
      <c r="T115" s="53" t="str">
        <f>IFERROR(IF($N115="","",IF($N115=T$111,LARGE(T$112:T114,1)+1,"")),1)</f>
        <v/>
      </c>
      <c r="U115" s="53" t="str">
        <f>IFERROR(IF($N115="","",IF($N115=U$111,LARGE(U$112:U114,1)+1,"")),1)</f>
        <v/>
      </c>
    </row>
    <row r="116" spans="1:21" hidden="1">
      <c r="A116" s="18" t="str">
        <f t="shared" si="24"/>
        <v/>
      </c>
      <c r="B116" s="29">
        <f t="shared" si="25"/>
        <v>0</v>
      </c>
      <c r="C116" s="30">
        <f t="shared" si="26"/>
        <v>0</v>
      </c>
      <c r="D116" s="30">
        <f t="shared" si="27"/>
        <v>0</v>
      </c>
      <c r="E116" s="30">
        <f t="shared" si="28"/>
        <v>0</v>
      </c>
      <c r="F116" s="30">
        <f t="shared" si="29"/>
        <v>0</v>
      </c>
      <c r="G116" s="31" t="str">
        <f t="shared" si="22"/>
        <v/>
      </c>
      <c r="I116" s="29">
        <f t="shared" si="30"/>
        <v>0</v>
      </c>
      <c r="J116" s="30">
        <f t="shared" si="31"/>
        <v>0</v>
      </c>
      <c r="K116" s="30">
        <f t="shared" si="32"/>
        <v>0</v>
      </c>
      <c r="L116" s="30">
        <f t="shared" si="33"/>
        <v>0</v>
      </c>
      <c r="M116" s="31">
        <f t="shared" si="34"/>
        <v>0</v>
      </c>
      <c r="N116" s="18" t="str">
        <f t="shared" si="35"/>
        <v/>
      </c>
      <c r="O116" s="52" t="str">
        <f>IF(N116="","",IF(O115="",1,LARGE($O$112:O115,1)+1))</f>
        <v/>
      </c>
      <c r="Q116" s="53" t="str">
        <f>IFERROR(IF($N116="","",IF($N116=Q$111,LARGE(Q$112:Q115,1)+1,"")),1)</f>
        <v/>
      </c>
      <c r="R116" s="53" t="str">
        <f>IFERROR(IF($N116="","",IF($N116=R$111,LARGE(R$112:R115,1)+1,"")),1)</f>
        <v/>
      </c>
      <c r="S116" s="53" t="str">
        <f>IFERROR(IF($N116="","",IF($N116=S$111,LARGE(S$112:S115,1)+1,"")),1)</f>
        <v/>
      </c>
      <c r="T116" s="53" t="str">
        <f>IFERROR(IF($N116="","",IF($N116=T$111,LARGE(T$112:T115,1)+1,"")),1)</f>
        <v/>
      </c>
      <c r="U116" s="53" t="str">
        <f>IFERROR(IF($N116="","",IF($N116=U$111,LARGE(U$112:U115,1)+1,"")),1)</f>
        <v/>
      </c>
    </row>
    <row r="117" spans="1:21" hidden="1">
      <c r="A117" s="18" t="str">
        <f t="shared" si="24"/>
        <v/>
      </c>
      <c r="B117" s="29">
        <f t="shared" si="25"/>
        <v>0</v>
      </c>
      <c r="C117" s="30">
        <f>H10</f>
        <v>0</v>
      </c>
      <c r="D117" s="30">
        <f t="shared" si="27"/>
        <v>0</v>
      </c>
      <c r="E117" s="30">
        <f t="shared" si="28"/>
        <v>0</v>
      </c>
      <c r="F117" s="30">
        <f t="shared" si="29"/>
        <v>0</v>
      </c>
      <c r="G117" s="31" t="str">
        <f t="shared" si="22"/>
        <v/>
      </c>
      <c r="I117" s="29">
        <f t="shared" si="30"/>
        <v>0</v>
      </c>
      <c r="J117" s="30">
        <f t="shared" si="31"/>
        <v>0</v>
      </c>
      <c r="K117" s="30">
        <f t="shared" si="32"/>
        <v>0</v>
      </c>
      <c r="L117" s="30">
        <f t="shared" si="33"/>
        <v>0</v>
      </c>
      <c r="M117" s="31">
        <f t="shared" si="34"/>
        <v>0</v>
      </c>
      <c r="N117" s="18" t="str">
        <f t="shared" si="35"/>
        <v/>
      </c>
      <c r="O117" s="52" t="str">
        <f>IF(N117="","",IF(O116="",1,LARGE($O$112:O116,1)+1))</f>
        <v/>
      </c>
      <c r="Q117" s="53" t="str">
        <f>IFERROR(IF($N117="","",IF($N117=Q$111,LARGE(Q$112:Q116,1)+1,"")),1)</f>
        <v/>
      </c>
      <c r="R117" s="53" t="str">
        <f>IFERROR(IF($N117="","",IF($N117=R$111,LARGE(R$112:R116,1)+1,"")),1)</f>
        <v/>
      </c>
      <c r="S117" s="53" t="str">
        <f>IFERROR(IF($N117="","",IF($N117=S$111,LARGE(S$112:S116,1)+1,"")),1)</f>
        <v/>
      </c>
      <c r="T117" s="53" t="str">
        <f>IFERROR(IF($N117="","",IF($N117=T$111,LARGE(T$112:T116,1)+1,"")),1)</f>
        <v/>
      </c>
      <c r="U117" s="53" t="str">
        <f>IFERROR(IF($N117="","",IF($N117=U$111,LARGE(U$112:U116,1)+1,"")),1)</f>
        <v/>
      </c>
    </row>
    <row r="118" spans="1:21" hidden="1">
      <c r="A118" s="18" t="str">
        <f t="shared" si="24"/>
        <v/>
      </c>
      <c r="B118" s="29">
        <f t="shared" si="25"/>
        <v>0</v>
      </c>
      <c r="C118" s="30">
        <f t="shared" si="26"/>
        <v>0</v>
      </c>
      <c r="D118" s="30">
        <f t="shared" si="27"/>
        <v>0</v>
      </c>
      <c r="E118" s="30">
        <f t="shared" si="28"/>
        <v>0</v>
      </c>
      <c r="F118" s="30">
        <f t="shared" si="29"/>
        <v>0</v>
      </c>
      <c r="G118" s="31" t="str">
        <f t="shared" si="22"/>
        <v/>
      </c>
      <c r="I118" s="29">
        <f t="shared" si="30"/>
        <v>0</v>
      </c>
      <c r="J118" s="30">
        <f t="shared" si="31"/>
        <v>0</v>
      </c>
      <c r="K118" s="30">
        <f t="shared" si="32"/>
        <v>0</v>
      </c>
      <c r="L118" s="30">
        <f t="shared" si="33"/>
        <v>0</v>
      </c>
      <c r="M118" s="31">
        <f t="shared" si="34"/>
        <v>0</v>
      </c>
      <c r="N118" s="18" t="str">
        <f t="shared" si="35"/>
        <v/>
      </c>
      <c r="O118" s="52" t="str">
        <f>IF(N118="","",IF(O117="",1,LARGE($O$112:O117,1)+1))</f>
        <v/>
      </c>
      <c r="Q118" s="53" t="str">
        <f>IFERROR(IF($N118="","",IF($N118=Q$111,LARGE(Q$112:Q117,1)+1,"")),1)</f>
        <v/>
      </c>
      <c r="R118" s="53" t="str">
        <f>IFERROR(IF($N118="","",IF($N118=R$111,LARGE(R$112:R117,1)+1,"")),1)</f>
        <v/>
      </c>
      <c r="S118" s="53" t="str">
        <f>IFERROR(IF($N118="","",IF($N118=S$111,LARGE(S$112:S117,1)+1,"")),1)</f>
        <v/>
      </c>
      <c r="T118" s="53" t="str">
        <f>IFERROR(IF($N118="","",IF($N118=T$111,LARGE(T$112:T117,1)+1,"")),1)</f>
        <v/>
      </c>
      <c r="U118" s="53" t="str">
        <f>IFERROR(IF($N118="","",IF($N118=U$111,LARGE(U$112:U117,1)+1,"")),1)</f>
        <v/>
      </c>
    </row>
    <row r="119" spans="1:21" hidden="1">
      <c r="A119" s="18" t="str">
        <f t="shared" si="24"/>
        <v/>
      </c>
      <c r="B119" s="29">
        <f t="shared" si="25"/>
        <v>0</v>
      </c>
      <c r="C119" s="30">
        <f t="shared" si="26"/>
        <v>0</v>
      </c>
      <c r="D119" s="30">
        <f t="shared" si="27"/>
        <v>0</v>
      </c>
      <c r="E119" s="30">
        <f t="shared" si="28"/>
        <v>0</v>
      </c>
      <c r="F119" s="30">
        <f t="shared" si="29"/>
        <v>0</v>
      </c>
      <c r="G119" s="31" t="str">
        <f t="shared" si="22"/>
        <v/>
      </c>
      <c r="I119" s="29">
        <f t="shared" si="30"/>
        <v>0</v>
      </c>
      <c r="J119" s="30">
        <f t="shared" si="31"/>
        <v>0</v>
      </c>
      <c r="K119" s="30">
        <f t="shared" si="32"/>
        <v>0</v>
      </c>
      <c r="L119" s="30">
        <f t="shared" si="33"/>
        <v>0</v>
      </c>
      <c r="M119" s="31">
        <f t="shared" si="34"/>
        <v>0</v>
      </c>
      <c r="N119" s="18" t="str">
        <f t="shared" si="35"/>
        <v/>
      </c>
      <c r="O119" s="52" t="str">
        <f>IF(N119="","",IF(O118="",1,LARGE($O$112:O118,1)+1))</f>
        <v/>
      </c>
      <c r="Q119" s="53" t="str">
        <f>IFERROR(IF($N119="","",IF($N119=Q$111,LARGE(Q$112:Q118,1)+1,"")),1)</f>
        <v/>
      </c>
      <c r="R119" s="53" t="str">
        <f>IFERROR(IF($N119="","",IF($N119=R$111,LARGE(R$112:R118,1)+1,"")),1)</f>
        <v/>
      </c>
      <c r="S119" s="53" t="str">
        <f>IFERROR(IF($N119="","",IF($N119=S$111,LARGE(S$112:S118,1)+1,"")),1)</f>
        <v/>
      </c>
      <c r="T119" s="53" t="str">
        <f>IFERROR(IF($N119="","",IF($N119=T$111,LARGE(T$112:T118,1)+1,"")),1)</f>
        <v/>
      </c>
      <c r="U119" s="53" t="str">
        <f>IFERROR(IF($N119="","",IF($N119=U$111,LARGE(U$112:U118,1)+1,"")),1)</f>
        <v/>
      </c>
    </row>
    <row r="120" spans="1:21" hidden="1">
      <c r="A120" s="18" t="str">
        <f t="shared" si="24"/>
        <v/>
      </c>
      <c r="B120" s="29">
        <f t="shared" si="25"/>
        <v>0</v>
      </c>
      <c r="C120" s="30">
        <f t="shared" si="26"/>
        <v>0</v>
      </c>
      <c r="D120" s="30">
        <f t="shared" si="27"/>
        <v>0</v>
      </c>
      <c r="E120" s="30">
        <f t="shared" si="28"/>
        <v>0</v>
      </c>
      <c r="F120" s="30">
        <f t="shared" si="29"/>
        <v>0</v>
      </c>
      <c r="G120" s="31" t="str">
        <f t="shared" si="22"/>
        <v/>
      </c>
      <c r="I120" s="29">
        <f t="shared" si="30"/>
        <v>0</v>
      </c>
      <c r="J120" s="30">
        <f t="shared" si="31"/>
        <v>0</v>
      </c>
      <c r="K120" s="30">
        <f t="shared" si="32"/>
        <v>0</v>
      </c>
      <c r="L120" s="30">
        <f t="shared" si="33"/>
        <v>0</v>
      </c>
      <c r="M120" s="31">
        <f t="shared" si="34"/>
        <v>0</v>
      </c>
      <c r="N120" s="18" t="str">
        <f t="shared" si="35"/>
        <v/>
      </c>
      <c r="O120" s="52" t="str">
        <f>IF(N120="","",IF(O119="",1,LARGE($O$112:O119,1)+1))</f>
        <v/>
      </c>
      <c r="Q120" s="53" t="str">
        <f>IFERROR(IF($N120="","",IF($N120=Q$111,LARGE(Q$112:Q119,1)+1,"")),1)</f>
        <v/>
      </c>
      <c r="R120" s="53" t="str">
        <f>IFERROR(IF($N120="","",IF($N120=R$111,LARGE(R$112:R119,1)+1,"")),1)</f>
        <v/>
      </c>
      <c r="S120" s="53" t="str">
        <f>IFERROR(IF($N120="","",IF($N120=S$111,LARGE(S$112:S119,1)+1,"")),1)</f>
        <v/>
      </c>
      <c r="T120" s="53" t="str">
        <f>IFERROR(IF($N120="","",IF($N120=T$111,LARGE(T$112:T119,1)+1,"")),1)</f>
        <v/>
      </c>
      <c r="U120" s="53" t="str">
        <f>IFERROR(IF($N120="","",IF($N120=U$111,LARGE(U$112:U119,1)+1,"")),1)</f>
        <v/>
      </c>
    </row>
    <row r="121" spans="1:21" hidden="1">
      <c r="A121" s="18" t="str">
        <f t="shared" si="24"/>
        <v/>
      </c>
      <c r="B121" s="29">
        <f t="shared" si="25"/>
        <v>0</v>
      </c>
      <c r="C121" s="30">
        <f t="shared" si="26"/>
        <v>0</v>
      </c>
      <c r="D121" s="30">
        <f t="shared" si="27"/>
        <v>0</v>
      </c>
      <c r="E121" s="30">
        <f t="shared" si="28"/>
        <v>0</v>
      </c>
      <c r="F121" s="30">
        <f t="shared" si="29"/>
        <v>0</v>
      </c>
      <c r="G121" s="31" t="str">
        <f t="shared" si="22"/>
        <v/>
      </c>
      <c r="I121" s="29">
        <f t="shared" si="30"/>
        <v>0</v>
      </c>
      <c r="J121" s="30">
        <f t="shared" si="31"/>
        <v>0</v>
      </c>
      <c r="K121" s="30">
        <f t="shared" si="32"/>
        <v>0</v>
      </c>
      <c r="L121" s="30">
        <f t="shared" si="33"/>
        <v>0</v>
      </c>
      <c r="M121" s="31">
        <f t="shared" si="34"/>
        <v>0</v>
      </c>
      <c r="N121" s="18" t="str">
        <f t="shared" si="35"/>
        <v/>
      </c>
      <c r="O121" s="52" t="str">
        <f>IF(N121="","",IF(O120="",1,LARGE($O$112:O120,1)+1))</f>
        <v/>
      </c>
      <c r="Q121" s="53" t="str">
        <f>IFERROR(IF($N121="","",IF($N121=Q$111,LARGE(Q$112:Q120,1)+1,"")),1)</f>
        <v/>
      </c>
      <c r="R121" s="53" t="str">
        <f>IFERROR(IF($N121="","",IF($N121=R$111,LARGE(R$112:R120,1)+1,"")),1)</f>
        <v/>
      </c>
      <c r="S121" s="53" t="str">
        <f>IFERROR(IF($N121="","",IF($N121=S$111,LARGE(S$112:S120,1)+1,"")),1)</f>
        <v/>
      </c>
      <c r="T121" s="53" t="str">
        <f>IFERROR(IF($N121="","",IF($N121=T$111,LARGE(T$112:T120,1)+1,"")),1)</f>
        <v/>
      </c>
      <c r="U121" s="53" t="str">
        <f>IFERROR(IF($N121="","",IF($N121=U$111,LARGE(U$112:U120,1)+1,"")),1)</f>
        <v/>
      </c>
    </row>
    <row r="122" spans="1:21" hidden="1">
      <c r="A122" s="18" t="str">
        <f t="shared" si="24"/>
        <v/>
      </c>
      <c r="B122" s="29">
        <f t="shared" si="25"/>
        <v>0</v>
      </c>
      <c r="C122" s="30">
        <f t="shared" si="26"/>
        <v>0</v>
      </c>
      <c r="D122" s="30">
        <f t="shared" si="27"/>
        <v>0</v>
      </c>
      <c r="E122" s="30">
        <f t="shared" si="28"/>
        <v>0</v>
      </c>
      <c r="F122" s="30">
        <f t="shared" si="29"/>
        <v>0</v>
      </c>
      <c r="G122" s="31" t="str">
        <f t="shared" si="22"/>
        <v/>
      </c>
      <c r="I122" s="29">
        <f t="shared" si="30"/>
        <v>0</v>
      </c>
      <c r="J122" s="30">
        <f t="shared" si="31"/>
        <v>0</v>
      </c>
      <c r="K122" s="30">
        <f t="shared" si="32"/>
        <v>0</v>
      </c>
      <c r="L122" s="30">
        <f t="shared" si="33"/>
        <v>0</v>
      </c>
      <c r="M122" s="31">
        <f t="shared" si="34"/>
        <v>0</v>
      </c>
      <c r="N122" s="18" t="str">
        <f t="shared" si="35"/>
        <v/>
      </c>
      <c r="O122" s="52" t="str">
        <f>IF(N122="","",IF(O121="",1,LARGE($O$112:O121,1)+1))</f>
        <v/>
      </c>
      <c r="Q122" s="53" t="str">
        <f>IFERROR(IF($N122="","",IF($N122=Q$111,LARGE(Q$112:Q121,1)+1,"")),1)</f>
        <v/>
      </c>
      <c r="R122" s="53" t="str">
        <f>IFERROR(IF($N122="","",IF($N122=R$111,LARGE(R$112:R121,1)+1,"")),1)</f>
        <v/>
      </c>
      <c r="S122" s="53" t="str">
        <f>IFERROR(IF($N122="","",IF($N122=S$111,LARGE(S$112:S121,1)+1,"")),1)</f>
        <v/>
      </c>
      <c r="T122" s="53" t="str">
        <f>IFERROR(IF($N122="","",IF($N122=T$111,LARGE(T$112:T121,1)+1,"")),1)</f>
        <v/>
      </c>
      <c r="U122" s="53" t="str">
        <f>IFERROR(IF($N122="","",IF($N122=U$111,LARGE(U$112:U121,1)+1,"")),1)</f>
        <v/>
      </c>
    </row>
    <row r="123" spans="1:21" hidden="1">
      <c r="A123" s="18" t="str">
        <f t="shared" si="24"/>
        <v/>
      </c>
      <c r="B123" s="29">
        <f t="shared" si="25"/>
        <v>0</v>
      </c>
      <c r="C123" s="30">
        <f t="shared" si="26"/>
        <v>0</v>
      </c>
      <c r="D123" s="30">
        <f t="shared" si="27"/>
        <v>0</v>
      </c>
      <c r="E123" s="30">
        <f t="shared" si="28"/>
        <v>0</v>
      </c>
      <c r="F123" s="30">
        <f t="shared" si="29"/>
        <v>0</v>
      </c>
      <c r="G123" s="31" t="str">
        <f t="shared" si="22"/>
        <v/>
      </c>
      <c r="I123" s="29">
        <f t="shared" si="30"/>
        <v>0</v>
      </c>
      <c r="J123" s="30">
        <f t="shared" si="31"/>
        <v>0</v>
      </c>
      <c r="K123" s="30">
        <f t="shared" si="32"/>
        <v>0</v>
      </c>
      <c r="L123" s="30">
        <f t="shared" si="33"/>
        <v>0</v>
      </c>
      <c r="M123" s="31">
        <f t="shared" si="34"/>
        <v>0</v>
      </c>
      <c r="N123" s="18" t="str">
        <f t="shared" si="35"/>
        <v/>
      </c>
      <c r="O123" s="52" t="str">
        <f>IF(N123="","",IF(O122="",1,LARGE($O$112:O122,1)+1))</f>
        <v/>
      </c>
      <c r="Q123" s="53" t="str">
        <f>IFERROR(IF($N123="","",IF($N123=Q$111,LARGE(Q$112:Q122,1)+1,"")),1)</f>
        <v/>
      </c>
      <c r="R123" s="53" t="str">
        <f>IFERROR(IF($N123="","",IF($N123=R$111,LARGE(R$112:R122,1)+1,"")),1)</f>
        <v/>
      </c>
      <c r="S123" s="53" t="str">
        <f>IFERROR(IF($N123="","",IF($N123=S$111,LARGE(S$112:S122,1)+1,"")),1)</f>
        <v/>
      </c>
      <c r="T123" s="53" t="str">
        <f>IFERROR(IF($N123="","",IF($N123=T$111,LARGE(T$112:T122,1)+1,"")),1)</f>
        <v/>
      </c>
      <c r="U123" s="53" t="str">
        <f>IFERROR(IF($N123="","",IF($N123=U$111,LARGE(U$112:U122,1)+1,"")),1)</f>
        <v/>
      </c>
    </row>
    <row r="124" spans="1:21" hidden="1">
      <c r="A124" s="18" t="str">
        <f t="shared" si="24"/>
        <v/>
      </c>
      <c r="B124" s="29">
        <f t="shared" si="25"/>
        <v>0</v>
      </c>
      <c r="C124" s="30">
        <f t="shared" si="26"/>
        <v>0</v>
      </c>
      <c r="D124" s="30">
        <f t="shared" si="27"/>
        <v>0</v>
      </c>
      <c r="E124" s="30">
        <f t="shared" si="28"/>
        <v>0</v>
      </c>
      <c r="F124" s="30">
        <f t="shared" si="29"/>
        <v>0</v>
      </c>
      <c r="G124" s="31" t="str">
        <f t="shared" si="22"/>
        <v/>
      </c>
      <c r="I124" s="29">
        <f t="shared" si="30"/>
        <v>0</v>
      </c>
      <c r="J124" s="30">
        <f t="shared" si="31"/>
        <v>0</v>
      </c>
      <c r="K124" s="30">
        <f t="shared" si="32"/>
        <v>0</v>
      </c>
      <c r="L124" s="30">
        <f t="shared" si="33"/>
        <v>0</v>
      </c>
      <c r="M124" s="31">
        <f t="shared" si="34"/>
        <v>0</v>
      </c>
      <c r="N124" s="18" t="str">
        <f t="shared" si="35"/>
        <v/>
      </c>
      <c r="O124" s="52" t="str">
        <f>IF(N124="","",IF(O123="",1,LARGE($O$112:O123,1)+1))</f>
        <v/>
      </c>
      <c r="Q124" s="53" t="str">
        <f>IFERROR(IF($N124="","",IF($N124=Q$111,LARGE(Q$112:Q123,1)+1,"")),1)</f>
        <v/>
      </c>
      <c r="R124" s="53" t="str">
        <f>IFERROR(IF($N124="","",IF($N124=R$111,LARGE(R$112:R123,1)+1,"")),1)</f>
        <v/>
      </c>
      <c r="S124" s="53" t="str">
        <f>IFERROR(IF($N124="","",IF($N124=S$111,LARGE(S$112:S123,1)+1,"")),1)</f>
        <v/>
      </c>
      <c r="T124" s="53" t="str">
        <f>IFERROR(IF($N124="","",IF($N124=T$111,LARGE(T$112:T123,1)+1,"")),1)</f>
        <v/>
      </c>
      <c r="U124" s="53" t="str">
        <f>IFERROR(IF($N124="","",IF($N124=U$111,LARGE(U$112:U123,1)+1,"")),1)</f>
        <v/>
      </c>
    </row>
    <row r="125" spans="1:21" hidden="1">
      <c r="A125" s="18" t="str">
        <f t="shared" si="24"/>
        <v/>
      </c>
      <c r="B125" s="29">
        <f t="shared" si="25"/>
        <v>0</v>
      </c>
      <c r="C125" s="30">
        <f t="shared" si="26"/>
        <v>0</v>
      </c>
      <c r="D125" s="30">
        <f t="shared" si="27"/>
        <v>0</v>
      </c>
      <c r="E125" s="30">
        <f t="shared" si="28"/>
        <v>0</v>
      </c>
      <c r="F125" s="30">
        <f t="shared" si="29"/>
        <v>0</v>
      </c>
      <c r="G125" s="31" t="str">
        <f t="shared" si="22"/>
        <v/>
      </c>
      <c r="I125" s="29">
        <f t="shared" si="30"/>
        <v>0</v>
      </c>
      <c r="J125" s="30">
        <f t="shared" si="31"/>
        <v>0</v>
      </c>
      <c r="K125" s="30">
        <f t="shared" si="32"/>
        <v>0</v>
      </c>
      <c r="L125" s="30">
        <f t="shared" si="33"/>
        <v>0</v>
      </c>
      <c r="M125" s="31">
        <f t="shared" si="34"/>
        <v>0</v>
      </c>
      <c r="N125" s="18" t="str">
        <f t="shared" si="35"/>
        <v/>
      </c>
      <c r="O125" s="52" t="str">
        <f>IF(N125="","",IF(O124="",1,LARGE($O$112:O124,1)+1))</f>
        <v/>
      </c>
      <c r="Q125" s="53" t="str">
        <f>IFERROR(IF($N125="","",IF($N125=Q$111,LARGE(Q$112:Q124,1)+1,"")),1)</f>
        <v/>
      </c>
      <c r="R125" s="53" t="str">
        <f>IFERROR(IF($N125="","",IF($N125=R$111,LARGE(R$112:R124,1)+1,"")),1)</f>
        <v/>
      </c>
      <c r="S125" s="53" t="str">
        <f>IFERROR(IF($N125="","",IF($N125=S$111,LARGE(S$112:S124,1)+1,"")),1)</f>
        <v/>
      </c>
      <c r="T125" s="53" t="str">
        <f>IFERROR(IF($N125="","",IF($N125=T$111,LARGE(T$112:T124,1)+1,"")),1)</f>
        <v/>
      </c>
      <c r="U125" s="53" t="str">
        <f>IFERROR(IF($N125="","",IF($N125=U$111,LARGE(U$112:U124,1)+1,"")),1)</f>
        <v/>
      </c>
    </row>
    <row r="126" spans="1:21" hidden="1">
      <c r="A126" s="18" t="str">
        <f t="shared" si="24"/>
        <v/>
      </c>
      <c r="B126" s="29">
        <f t="shared" si="25"/>
        <v>0</v>
      </c>
      <c r="C126" s="30">
        <f t="shared" si="26"/>
        <v>0</v>
      </c>
      <c r="D126" s="30">
        <f t="shared" si="27"/>
        <v>0</v>
      </c>
      <c r="E126" s="30">
        <f t="shared" si="28"/>
        <v>0</v>
      </c>
      <c r="F126" s="30">
        <f t="shared" si="29"/>
        <v>0</v>
      </c>
      <c r="G126" s="31" t="str">
        <f t="shared" si="22"/>
        <v/>
      </c>
      <c r="I126" s="29">
        <f t="shared" si="30"/>
        <v>0</v>
      </c>
      <c r="J126" s="30">
        <f t="shared" si="31"/>
        <v>0</v>
      </c>
      <c r="K126" s="30">
        <f t="shared" si="32"/>
        <v>0</v>
      </c>
      <c r="L126" s="30">
        <f t="shared" si="33"/>
        <v>0</v>
      </c>
      <c r="M126" s="31">
        <f t="shared" si="34"/>
        <v>0</v>
      </c>
      <c r="N126" s="18" t="str">
        <f t="shared" si="35"/>
        <v/>
      </c>
      <c r="O126" s="52" t="str">
        <f>IF(N126="","",IF(O125="",1,LARGE($O$112:O125,1)+1))</f>
        <v/>
      </c>
      <c r="Q126" s="53" t="str">
        <f>IFERROR(IF($N126="","",IF($N126=Q$111,LARGE(Q$112:Q125,1)+1,"")),1)</f>
        <v/>
      </c>
      <c r="R126" s="53" t="str">
        <f>IFERROR(IF($N126="","",IF($N126=R$111,LARGE(R$112:R125,1)+1,"")),1)</f>
        <v/>
      </c>
      <c r="S126" s="53" t="str">
        <f>IFERROR(IF($N126="","",IF($N126=S$111,LARGE(S$112:S125,1)+1,"")),1)</f>
        <v/>
      </c>
      <c r="T126" s="53" t="str">
        <f>IFERROR(IF($N126="","",IF($N126=T$111,LARGE(T$112:T125,1)+1,"")),1)</f>
        <v/>
      </c>
      <c r="U126" s="53" t="str">
        <f>IFERROR(IF($N126="","",IF($N126=U$111,LARGE(U$112:U125,1)+1,"")),1)</f>
        <v/>
      </c>
    </row>
    <row r="127" spans="1:21" hidden="1">
      <c r="A127" s="18" t="str">
        <f t="shared" si="24"/>
        <v/>
      </c>
      <c r="B127" s="29">
        <f t="shared" si="25"/>
        <v>0</v>
      </c>
      <c r="C127" s="30">
        <f t="shared" si="26"/>
        <v>0</v>
      </c>
      <c r="D127" s="30">
        <f t="shared" si="27"/>
        <v>0</v>
      </c>
      <c r="E127" s="30">
        <f t="shared" si="28"/>
        <v>0</v>
      </c>
      <c r="F127" s="30">
        <f t="shared" si="29"/>
        <v>0</v>
      </c>
      <c r="G127" s="31" t="str">
        <f t="shared" si="22"/>
        <v/>
      </c>
      <c r="I127" s="29">
        <f t="shared" si="30"/>
        <v>0</v>
      </c>
      <c r="J127" s="30">
        <f t="shared" si="31"/>
        <v>0</v>
      </c>
      <c r="K127" s="30">
        <f t="shared" si="32"/>
        <v>0</v>
      </c>
      <c r="L127" s="30">
        <f t="shared" si="33"/>
        <v>0</v>
      </c>
      <c r="M127" s="31">
        <f t="shared" si="34"/>
        <v>0</v>
      </c>
      <c r="N127" s="18" t="str">
        <f t="shared" si="35"/>
        <v/>
      </c>
      <c r="O127" s="52" t="str">
        <f>IF(N127="","",IF(O126="",1,LARGE($O$112:O126,1)+1))</f>
        <v/>
      </c>
      <c r="Q127" s="53" t="str">
        <f>IFERROR(IF($N127="","",IF($N127=Q$111,LARGE(Q$112:Q126,1)+1,"")),1)</f>
        <v/>
      </c>
      <c r="R127" s="53" t="str">
        <f>IFERROR(IF($N127="","",IF($N127=R$111,LARGE(R$112:R126,1)+1,"")),1)</f>
        <v/>
      </c>
      <c r="S127" s="53" t="str">
        <f>IFERROR(IF($N127="","",IF($N127=S$111,LARGE(S$112:S126,1)+1,"")),1)</f>
        <v/>
      </c>
      <c r="T127" s="53" t="str">
        <f>IFERROR(IF($N127="","",IF($N127=T$111,LARGE(T$112:T126,1)+1,"")),1)</f>
        <v/>
      </c>
      <c r="U127" s="53" t="str">
        <f>IFERROR(IF($N127="","",IF($N127=U$111,LARGE(U$112:U126,1)+1,"")),1)</f>
        <v/>
      </c>
    </row>
    <row r="128" spans="1:21" hidden="1">
      <c r="A128" s="18" t="str">
        <f t="shared" si="24"/>
        <v/>
      </c>
      <c r="B128" s="29">
        <f t="shared" si="25"/>
        <v>0</v>
      </c>
      <c r="C128" s="30">
        <f t="shared" si="26"/>
        <v>0</v>
      </c>
      <c r="D128" s="30">
        <f t="shared" si="27"/>
        <v>0</v>
      </c>
      <c r="E128" s="30">
        <f t="shared" si="28"/>
        <v>0</v>
      </c>
      <c r="F128" s="30">
        <f t="shared" si="29"/>
        <v>0</v>
      </c>
      <c r="G128" s="31" t="str">
        <f t="shared" si="22"/>
        <v/>
      </c>
      <c r="I128" s="29">
        <f t="shared" si="30"/>
        <v>0</v>
      </c>
      <c r="J128" s="30">
        <f t="shared" si="31"/>
        <v>0</v>
      </c>
      <c r="K128" s="30">
        <f t="shared" si="32"/>
        <v>0</v>
      </c>
      <c r="L128" s="30">
        <f t="shared" si="33"/>
        <v>0</v>
      </c>
      <c r="M128" s="31">
        <f t="shared" si="34"/>
        <v>0</v>
      </c>
      <c r="N128" s="18" t="str">
        <f t="shared" si="35"/>
        <v/>
      </c>
      <c r="O128" s="52" t="str">
        <f>IF(N128="","",IF(O127="",1,LARGE($O$112:O127,1)+1))</f>
        <v/>
      </c>
      <c r="Q128" s="53" t="str">
        <f>IFERROR(IF($N128="","",IF($N128=Q$111,LARGE(Q$112:Q127,1)+1,"")),1)</f>
        <v/>
      </c>
      <c r="R128" s="53" t="str">
        <f>IFERROR(IF($N128="","",IF($N128=R$111,LARGE(R$112:R127,1)+1,"")),1)</f>
        <v/>
      </c>
      <c r="S128" s="53" t="str">
        <f>IFERROR(IF($N128="","",IF($N128=S$111,LARGE(S$112:S127,1)+1,"")),1)</f>
        <v/>
      </c>
      <c r="T128" s="53" t="str">
        <f>IFERROR(IF($N128="","",IF($N128=T$111,LARGE(T$112:T127,1)+1,"")),1)</f>
        <v/>
      </c>
      <c r="U128" s="53" t="str">
        <f>IFERROR(IF($N128="","",IF($N128=U$111,LARGE(U$112:U127,1)+1,"")),1)</f>
        <v/>
      </c>
    </row>
    <row r="129" spans="1:21" hidden="1">
      <c r="A129" s="18" t="str">
        <f t="shared" si="24"/>
        <v/>
      </c>
      <c r="B129" s="29">
        <f t="shared" si="25"/>
        <v>0</v>
      </c>
      <c r="C129" s="30">
        <f t="shared" si="26"/>
        <v>0</v>
      </c>
      <c r="D129" s="30">
        <f t="shared" si="27"/>
        <v>0</v>
      </c>
      <c r="E129" s="30">
        <f t="shared" si="28"/>
        <v>0</v>
      </c>
      <c r="F129" s="30">
        <f t="shared" si="29"/>
        <v>0</v>
      </c>
      <c r="G129" s="31" t="str">
        <f t="shared" si="22"/>
        <v/>
      </c>
      <c r="I129" s="29">
        <f t="shared" si="30"/>
        <v>0</v>
      </c>
      <c r="J129" s="30">
        <f t="shared" si="31"/>
        <v>0</v>
      </c>
      <c r="K129" s="30">
        <f t="shared" si="32"/>
        <v>0</v>
      </c>
      <c r="L129" s="30">
        <f t="shared" si="33"/>
        <v>0</v>
      </c>
      <c r="M129" s="31">
        <f t="shared" si="34"/>
        <v>0</v>
      </c>
      <c r="N129" s="18" t="str">
        <f t="shared" si="35"/>
        <v/>
      </c>
      <c r="O129" s="52" t="str">
        <f>IF(N129="","",IF(O128="",1,LARGE($O$112:O128,1)+1))</f>
        <v/>
      </c>
      <c r="Q129" s="53" t="str">
        <f>IFERROR(IF($N129="","",IF($N129=Q$111,LARGE(Q$112:Q128,1)+1,"")),1)</f>
        <v/>
      </c>
      <c r="R129" s="53" t="str">
        <f>IFERROR(IF($N129="","",IF($N129=R$111,LARGE(R$112:R128,1)+1,"")),1)</f>
        <v/>
      </c>
      <c r="S129" s="53" t="str">
        <f>IFERROR(IF($N129="","",IF($N129=S$111,LARGE(S$112:S128,1)+1,"")),1)</f>
        <v/>
      </c>
      <c r="T129" s="53" t="str">
        <f>IFERROR(IF($N129="","",IF($N129=T$111,LARGE(T$112:T128,1)+1,"")),1)</f>
        <v/>
      </c>
      <c r="U129" s="53" t="str">
        <f>IFERROR(IF($N129="","",IF($N129=U$111,LARGE(U$112:U128,1)+1,"")),1)</f>
        <v/>
      </c>
    </row>
    <row r="130" spans="1:21" hidden="1">
      <c r="A130" s="18" t="str">
        <f t="shared" si="24"/>
        <v/>
      </c>
      <c r="B130" s="29">
        <f t="shared" si="25"/>
        <v>0</v>
      </c>
      <c r="C130" s="30">
        <f t="shared" si="26"/>
        <v>0</v>
      </c>
      <c r="D130" s="30">
        <f t="shared" si="27"/>
        <v>0</v>
      </c>
      <c r="E130" s="30">
        <f t="shared" si="28"/>
        <v>0</v>
      </c>
      <c r="F130" s="30">
        <f t="shared" si="29"/>
        <v>0</v>
      </c>
      <c r="G130" s="31" t="str">
        <f t="shared" si="22"/>
        <v/>
      </c>
      <c r="I130" s="29">
        <f t="shared" si="30"/>
        <v>0</v>
      </c>
      <c r="J130" s="30">
        <f t="shared" si="31"/>
        <v>0</v>
      </c>
      <c r="K130" s="30">
        <f t="shared" si="32"/>
        <v>0</v>
      </c>
      <c r="L130" s="30">
        <f t="shared" si="33"/>
        <v>0</v>
      </c>
      <c r="M130" s="31">
        <f t="shared" si="34"/>
        <v>0</v>
      </c>
      <c r="N130" s="18" t="str">
        <f t="shared" si="35"/>
        <v/>
      </c>
      <c r="O130" s="52" t="str">
        <f>IF(N130="","",IF(O129="",1,LARGE($O$112:O129,1)+1))</f>
        <v/>
      </c>
      <c r="Q130" s="53" t="str">
        <f>IFERROR(IF($N130="","",IF($N130=Q$111,LARGE(Q$112:Q129,1)+1,"")),1)</f>
        <v/>
      </c>
      <c r="R130" s="53" t="str">
        <f>IFERROR(IF($N130="","",IF($N130=R$111,LARGE(R$112:R129,1)+1,"")),1)</f>
        <v/>
      </c>
      <c r="S130" s="53" t="str">
        <f>IFERROR(IF($N130="","",IF($N130=S$111,LARGE(S$112:S129,1)+1,"")),1)</f>
        <v/>
      </c>
      <c r="T130" s="53" t="str">
        <f>IFERROR(IF($N130="","",IF($N130=T$111,LARGE(T$112:T129,1)+1,"")),1)</f>
        <v/>
      </c>
      <c r="U130" s="53" t="str">
        <f>IFERROR(IF($N130="","",IF($N130=U$111,LARGE(U$112:U129,1)+1,"")),1)</f>
        <v/>
      </c>
    </row>
    <row r="131" spans="1:21" hidden="1">
      <c r="A131" s="18" t="str">
        <f t="shared" si="24"/>
        <v/>
      </c>
      <c r="B131" s="29">
        <f t="shared" si="25"/>
        <v>0</v>
      </c>
      <c r="C131" s="30">
        <f t="shared" si="26"/>
        <v>0</v>
      </c>
      <c r="D131" s="30">
        <f t="shared" si="27"/>
        <v>0</v>
      </c>
      <c r="E131" s="30">
        <f t="shared" si="28"/>
        <v>0</v>
      </c>
      <c r="F131" s="30">
        <f t="shared" si="29"/>
        <v>0</v>
      </c>
      <c r="G131" s="31" t="str">
        <f t="shared" si="22"/>
        <v/>
      </c>
      <c r="I131" s="29">
        <f t="shared" si="30"/>
        <v>0</v>
      </c>
      <c r="J131" s="30">
        <f t="shared" si="31"/>
        <v>0</v>
      </c>
      <c r="K131" s="30">
        <f t="shared" si="32"/>
        <v>0</v>
      </c>
      <c r="L131" s="30">
        <f t="shared" si="33"/>
        <v>0</v>
      </c>
      <c r="M131" s="31">
        <f t="shared" si="34"/>
        <v>0</v>
      </c>
      <c r="N131" s="18" t="str">
        <f t="shared" si="35"/>
        <v/>
      </c>
      <c r="O131" s="52" t="str">
        <f>IF(N131="","",IF(O130="",1,LARGE($O$112:O130,1)+1))</f>
        <v/>
      </c>
      <c r="Q131" s="53" t="str">
        <f>IFERROR(IF($N131="","",IF($N131=Q$111,LARGE(Q$112:Q130,1)+1,"")),1)</f>
        <v/>
      </c>
      <c r="R131" s="53" t="str">
        <f>IFERROR(IF($N131="","",IF($N131=R$111,LARGE(R$112:R130,1)+1,"")),1)</f>
        <v/>
      </c>
      <c r="S131" s="53" t="str">
        <f>IFERROR(IF($N131="","",IF($N131=S$111,LARGE(S$112:S130,1)+1,"")),1)</f>
        <v/>
      </c>
      <c r="T131" s="53" t="str">
        <f>IFERROR(IF($N131="","",IF($N131=T$111,LARGE(T$112:T130,1)+1,"")),1)</f>
        <v/>
      </c>
      <c r="U131" s="53" t="str">
        <f>IFERROR(IF($N131="","",IF($N131=U$111,LARGE(U$112:U130,1)+1,"")),1)</f>
        <v/>
      </c>
    </row>
    <row r="132" spans="1:21" hidden="1">
      <c r="A132" s="18" t="str">
        <f t="shared" si="24"/>
        <v/>
      </c>
      <c r="B132" s="29">
        <f t="shared" si="25"/>
        <v>0</v>
      </c>
      <c r="C132" s="30">
        <f t="shared" si="26"/>
        <v>0</v>
      </c>
      <c r="D132" s="30">
        <f t="shared" si="27"/>
        <v>0</v>
      </c>
      <c r="E132" s="30">
        <f t="shared" si="28"/>
        <v>0</v>
      </c>
      <c r="F132" s="30">
        <f t="shared" si="29"/>
        <v>0</v>
      </c>
      <c r="G132" s="31" t="str">
        <f t="shared" si="22"/>
        <v/>
      </c>
      <c r="I132" s="29">
        <f t="shared" si="30"/>
        <v>0</v>
      </c>
      <c r="J132" s="30">
        <f t="shared" si="31"/>
        <v>0</v>
      </c>
      <c r="K132" s="30">
        <f t="shared" si="32"/>
        <v>0</v>
      </c>
      <c r="L132" s="30">
        <f t="shared" si="33"/>
        <v>0</v>
      </c>
      <c r="M132" s="31">
        <f t="shared" si="34"/>
        <v>0</v>
      </c>
      <c r="N132" s="18" t="str">
        <f t="shared" si="35"/>
        <v/>
      </c>
      <c r="O132" s="52" t="str">
        <f>IF(N132="","",IF(O131="",1,LARGE($O$112:O131,1)+1))</f>
        <v/>
      </c>
      <c r="Q132" s="53" t="str">
        <f>IFERROR(IF($N132="","",IF($N132=Q$111,LARGE(Q$112:Q131,1)+1,"")),1)</f>
        <v/>
      </c>
      <c r="R132" s="53" t="str">
        <f>IFERROR(IF($N132="","",IF($N132=R$111,LARGE(R$112:R131,1)+1,"")),1)</f>
        <v/>
      </c>
      <c r="S132" s="53" t="str">
        <f>IFERROR(IF($N132="","",IF($N132=S$111,LARGE(S$112:S131,1)+1,"")),1)</f>
        <v/>
      </c>
      <c r="T132" s="53" t="str">
        <f>IFERROR(IF($N132="","",IF($N132=T$111,LARGE(T$112:T131,1)+1,"")),1)</f>
        <v/>
      </c>
      <c r="U132" s="53" t="str">
        <f>IFERROR(IF($N132="","",IF($N132=U$111,LARGE(U$112:U131,1)+1,"")),1)</f>
        <v/>
      </c>
    </row>
    <row r="133" spans="1:21" hidden="1">
      <c r="A133" s="18" t="str">
        <f t="shared" si="24"/>
        <v/>
      </c>
      <c r="B133" s="29">
        <f t="shared" si="25"/>
        <v>0</v>
      </c>
      <c r="C133" s="30">
        <f t="shared" si="26"/>
        <v>0</v>
      </c>
      <c r="D133" s="30">
        <f t="shared" si="27"/>
        <v>0</v>
      </c>
      <c r="E133" s="30">
        <f t="shared" si="28"/>
        <v>0</v>
      </c>
      <c r="F133" s="30">
        <f t="shared" si="29"/>
        <v>0</v>
      </c>
      <c r="G133" s="31" t="str">
        <f t="shared" si="22"/>
        <v/>
      </c>
      <c r="I133" s="29">
        <f t="shared" si="30"/>
        <v>0</v>
      </c>
      <c r="J133" s="30">
        <f t="shared" si="31"/>
        <v>0</v>
      </c>
      <c r="K133" s="30">
        <f t="shared" si="32"/>
        <v>0</v>
      </c>
      <c r="L133" s="30">
        <f t="shared" si="33"/>
        <v>0</v>
      </c>
      <c r="M133" s="31">
        <f t="shared" si="34"/>
        <v>0</v>
      </c>
      <c r="N133" s="18" t="str">
        <f t="shared" si="35"/>
        <v/>
      </c>
      <c r="O133" s="52" t="str">
        <f>IF(N133="","",IF(O132="",1,LARGE($O$112:O132,1)+1))</f>
        <v/>
      </c>
      <c r="Q133" s="53" t="str">
        <f>IFERROR(IF($N133="","",IF($N133=Q$111,LARGE(Q$112:Q132,1)+1,"")),1)</f>
        <v/>
      </c>
      <c r="R133" s="53" t="str">
        <f>IFERROR(IF($N133="","",IF($N133=R$111,LARGE(R$112:R132,1)+1,"")),1)</f>
        <v/>
      </c>
      <c r="S133" s="53" t="str">
        <f>IFERROR(IF($N133="","",IF($N133=S$111,LARGE(S$112:S132,1)+1,"")),1)</f>
        <v/>
      </c>
      <c r="T133" s="53" t="str">
        <f>IFERROR(IF($N133="","",IF($N133=T$111,LARGE(T$112:T132,1)+1,"")),1)</f>
        <v/>
      </c>
      <c r="U133" s="53" t="str">
        <f>IFERROR(IF($N133="","",IF($N133=U$111,LARGE(U$112:U132,1)+1,"")),1)</f>
        <v/>
      </c>
    </row>
    <row r="134" spans="1:21" hidden="1">
      <c r="A134" s="18" t="str">
        <f t="shared" si="24"/>
        <v/>
      </c>
      <c r="B134" s="29">
        <f t="shared" si="25"/>
        <v>0</v>
      </c>
      <c r="C134" s="30">
        <f t="shared" si="26"/>
        <v>0</v>
      </c>
      <c r="D134" s="30">
        <f t="shared" si="27"/>
        <v>0</v>
      </c>
      <c r="E134" s="30">
        <f t="shared" si="28"/>
        <v>0</v>
      </c>
      <c r="F134" s="30">
        <f t="shared" si="29"/>
        <v>0</v>
      </c>
      <c r="G134" s="31" t="str">
        <f t="shared" si="22"/>
        <v/>
      </c>
      <c r="I134" s="29">
        <f t="shared" si="30"/>
        <v>0</v>
      </c>
      <c r="J134" s="30">
        <f t="shared" si="31"/>
        <v>0</v>
      </c>
      <c r="K134" s="30">
        <f t="shared" si="32"/>
        <v>0</v>
      </c>
      <c r="L134" s="30">
        <f t="shared" si="33"/>
        <v>0</v>
      </c>
      <c r="M134" s="31">
        <f t="shared" si="34"/>
        <v>0</v>
      </c>
      <c r="N134" s="18" t="str">
        <f t="shared" si="35"/>
        <v/>
      </c>
      <c r="O134" s="52" t="str">
        <f>IF(N134="","",IF(O133="",1,LARGE($O$112:O133,1)+1))</f>
        <v/>
      </c>
      <c r="Q134" s="53" t="str">
        <f>IFERROR(IF($N134="","",IF($N134=Q$111,LARGE(Q$112:Q133,1)+1,"")),1)</f>
        <v/>
      </c>
      <c r="R134" s="53" t="str">
        <f>IFERROR(IF($N134="","",IF($N134=R$111,LARGE(R$112:R133,1)+1,"")),1)</f>
        <v/>
      </c>
      <c r="S134" s="53" t="str">
        <f>IFERROR(IF($N134="","",IF($N134=S$111,LARGE(S$112:S133,1)+1,"")),1)</f>
        <v/>
      </c>
      <c r="T134" s="53" t="str">
        <f>IFERROR(IF($N134="","",IF($N134=T$111,LARGE(T$112:T133,1)+1,"")),1)</f>
        <v/>
      </c>
      <c r="U134" s="53" t="str">
        <f>IFERROR(IF($N134="","",IF($N134=U$111,LARGE(U$112:U133,1)+1,"")),1)</f>
        <v/>
      </c>
    </row>
    <row r="135" spans="1:21" hidden="1">
      <c r="A135" s="18" t="str">
        <f t="shared" si="24"/>
        <v/>
      </c>
      <c r="B135" s="29">
        <f t="shared" si="25"/>
        <v>0</v>
      </c>
      <c r="C135" s="30">
        <f t="shared" si="26"/>
        <v>0</v>
      </c>
      <c r="D135" s="30">
        <f t="shared" si="27"/>
        <v>0</v>
      </c>
      <c r="E135" s="30">
        <f t="shared" si="28"/>
        <v>0</v>
      </c>
      <c r="F135" s="30">
        <f t="shared" si="29"/>
        <v>0</v>
      </c>
      <c r="G135" s="31" t="str">
        <f t="shared" si="22"/>
        <v/>
      </c>
      <c r="I135" s="29">
        <f t="shared" si="30"/>
        <v>0</v>
      </c>
      <c r="J135" s="30">
        <f t="shared" si="31"/>
        <v>0</v>
      </c>
      <c r="K135" s="30">
        <f t="shared" si="32"/>
        <v>0</v>
      </c>
      <c r="L135" s="30">
        <f t="shared" si="33"/>
        <v>0</v>
      </c>
      <c r="M135" s="31">
        <f t="shared" si="34"/>
        <v>0</v>
      </c>
      <c r="N135" s="18" t="str">
        <f t="shared" si="35"/>
        <v/>
      </c>
      <c r="O135" s="52" t="str">
        <f>IF(N135="","",IF(O134="",1,LARGE($O$112:O134,1)+1))</f>
        <v/>
      </c>
      <c r="Q135" s="53" t="str">
        <f>IFERROR(IF($N135="","",IF($N135=Q$111,LARGE(Q$112:Q134,1)+1,"")),1)</f>
        <v/>
      </c>
      <c r="R135" s="53" t="str">
        <f>IFERROR(IF($N135="","",IF($N135=R$111,LARGE(R$112:R134,1)+1,"")),1)</f>
        <v/>
      </c>
      <c r="S135" s="53" t="str">
        <f>IFERROR(IF($N135="","",IF($N135=S$111,LARGE(S$112:S134,1)+1,"")),1)</f>
        <v/>
      </c>
      <c r="T135" s="53" t="str">
        <f>IFERROR(IF($N135="","",IF($N135=T$111,LARGE(T$112:T134,1)+1,"")),1)</f>
        <v/>
      </c>
      <c r="U135" s="53" t="str">
        <f>IFERROR(IF($N135="","",IF($N135=U$111,LARGE(U$112:U134,1)+1,"")),1)</f>
        <v/>
      </c>
    </row>
    <row r="136" spans="1:21" hidden="1">
      <c r="A136" s="18" t="str">
        <f t="shared" si="24"/>
        <v/>
      </c>
      <c r="B136" s="29">
        <f t="shared" si="25"/>
        <v>0</v>
      </c>
      <c r="C136" s="30">
        <f t="shared" si="26"/>
        <v>0</v>
      </c>
      <c r="D136" s="30">
        <f t="shared" si="27"/>
        <v>0</v>
      </c>
      <c r="E136" s="30">
        <f t="shared" si="28"/>
        <v>0</v>
      </c>
      <c r="F136" s="30">
        <f t="shared" si="29"/>
        <v>0</v>
      </c>
      <c r="G136" s="31" t="str">
        <f t="shared" si="22"/>
        <v/>
      </c>
      <c r="I136" s="29">
        <f t="shared" si="30"/>
        <v>0</v>
      </c>
      <c r="J136" s="30">
        <f t="shared" si="31"/>
        <v>0</v>
      </c>
      <c r="K136" s="30">
        <f t="shared" si="32"/>
        <v>0</v>
      </c>
      <c r="L136" s="30">
        <f t="shared" si="33"/>
        <v>0</v>
      </c>
      <c r="M136" s="31">
        <f t="shared" si="34"/>
        <v>0</v>
      </c>
      <c r="N136" s="18" t="str">
        <f t="shared" si="35"/>
        <v/>
      </c>
      <c r="O136" s="52" t="str">
        <f>IF(N136="","",IF(O135="",1,LARGE($O$112:O135,1)+1))</f>
        <v/>
      </c>
      <c r="Q136" s="53" t="str">
        <f>IFERROR(IF($N136="","",IF($N136=Q$111,LARGE(Q$112:Q135,1)+1,"")),1)</f>
        <v/>
      </c>
      <c r="R136" s="53" t="str">
        <f>IFERROR(IF($N136="","",IF($N136=R$111,LARGE(R$112:R135,1)+1,"")),1)</f>
        <v/>
      </c>
      <c r="S136" s="53" t="str">
        <f>IFERROR(IF($N136="","",IF($N136=S$111,LARGE(S$112:S135,1)+1,"")),1)</f>
        <v/>
      </c>
      <c r="T136" s="53" t="str">
        <f>IFERROR(IF($N136="","",IF($N136=T$111,LARGE(T$112:T135,1)+1,"")),1)</f>
        <v/>
      </c>
      <c r="U136" s="53" t="str">
        <f>IFERROR(IF($N136="","",IF($N136=U$111,LARGE(U$112:U135,1)+1,"")),1)</f>
        <v/>
      </c>
    </row>
    <row r="137" spans="1:21" hidden="1">
      <c r="A137" s="18" t="str">
        <f t="shared" si="24"/>
        <v/>
      </c>
      <c r="B137" s="29">
        <f t="shared" si="25"/>
        <v>0</v>
      </c>
      <c r="C137" s="30">
        <f t="shared" si="26"/>
        <v>0</v>
      </c>
      <c r="D137" s="30">
        <f t="shared" si="27"/>
        <v>0</v>
      </c>
      <c r="E137" s="30">
        <f t="shared" si="28"/>
        <v>0</v>
      </c>
      <c r="F137" s="30">
        <f t="shared" si="29"/>
        <v>0</v>
      </c>
      <c r="G137" s="31" t="str">
        <f t="shared" si="22"/>
        <v/>
      </c>
      <c r="I137" s="29">
        <f t="shared" si="30"/>
        <v>0</v>
      </c>
      <c r="J137" s="30">
        <f t="shared" si="31"/>
        <v>0</v>
      </c>
      <c r="K137" s="30">
        <f t="shared" si="32"/>
        <v>0</v>
      </c>
      <c r="L137" s="30">
        <f t="shared" si="33"/>
        <v>0</v>
      </c>
      <c r="M137" s="31">
        <f t="shared" si="34"/>
        <v>0</v>
      </c>
      <c r="N137" s="18" t="str">
        <f t="shared" si="35"/>
        <v/>
      </c>
      <c r="O137" s="52" t="str">
        <f>IF(N137="","",IF(O136="",1,LARGE($O$112:O136,1)+1))</f>
        <v/>
      </c>
      <c r="Q137" s="53" t="str">
        <f>IFERROR(IF($N137="","",IF($N137=Q$111,LARGE(Q$112:Q136,1)+1,"")),1)</f>
        <v/>
      </c>
      <c r="R137" s="53" t="str">
        <f>IFERROR(IF($N137="","",IF($N137=R$111,LARGE(R$112:R136,1)+1,"")),1)</f>
        <v/>
      </c>
      <c r="S137" s="53" t="str">
        <f>IFERROR(IF($N137="","",IF($N137=S$111,LARGE(S$112:S136,1)+1,"")),1)</f>
        <v/>
      </c>
      <c r="T137" s="53" t="str">
        <f>IFERROR(IF($N137="","",IF($N137=T$111,LARGE(T$112:T136,1)+1,"")),1)</f>
        <v/>
      </c>
      <c r="U137" s="53" t="str">
        <f>IFERROR(IF($N137="","",IF($N137=U$111,LARGE(U$112:U136,1)+1,"")),1)</f>
        <v/>
      </c>
    </row>
    <row r="138" spans="1:21" hidden="1">
      <c r="A138" s="18" t="str">
        <f t="shared" si="24"/>
        <v/>
      </c>
      <c r="B138" s="29">
        <f t="shared" si="25"/>
        <v>0</v>
      </c>
      <c r="C138" s="30">
        <f t="shared" si="26"/>
        <v>0</v>
      </c>
      <c r="D138" s="30">
        <f t="shared" si="27"/>
        <v>0</v>
      </c>
      <c r="E138" s="30">
        <f t="shared" si="28"/>
        <v>0</v>
      </c>
      <c r="F138" s="30">
        <f t="shared" si="29"/>
        <v>0</v>
      </c>
      <c r="G138" s="31" t="str">
        <f t="shared" si="22"/>
        <v/>
      </c>
      <c r="I138" s="29">
        <f t="shared" si="30"/>
        <v>0</v>
      </c>
      <c r="J138" s="30">
        <f t="shared" si="31"/>
        <v>0</v>
      </c>
      <c r="K138" s="30">
        <f t="shared" si="32"/>
        <v>0</v>
      </c>
      <c r="L138" s="30">
        <f t="shared" si="33"/>
        <v>0</v>
      </c>
      <c r="M138" s="31">
        <f t="shared" si="34"/>
        <v>0</v>
      </c>
      <c r="N138" s="18" t="str">
        <f t="shared" si="35"/>
        <v/>
      </c>
      <c r="O138" s="52" t="str">
        <f>IF(N138="","",IF(O137="",1,LARGE($O$112:O137,1)+1))</f>
        <v/>
      </c>
      <c r="Q138" s="53" t="str">
        <f>IFERROR(IF($N138="","",IF($N138=Q$111,LARGE(Q$112:Q137,1)+1,"")),1)</f>
        <v/>
      </c>
      <c r="R138" s="53" t="str">
        <f>IFERROR(IF($N138="","",IF($N138=R$111,LARGE(R$112:R137,1)+1,"")),1)</f>
        <v/>
      </c>
      <c r="S138" s="53" t="str">
        <f>IFERROR(IF($N138="","",IF($N138=S$111,LARGE(S$112:S137,1)+1,"")),1)</f>
        <v/>
      </c>
      <c r="T138" s="53" t="str">
        <f>IFERROR(IF($N138="","",IF($N138=T$111,LARGE(T$112:T137,1)+1,"")),1)</f>
        <v/>
      </c>
      <c r="U138" s="53" t="str">
        <f>IFERROR(IF($N138="","",IF($N138=U$111,LARGE(U$112:U137,1)+1,"")),1)</f>
        <v/>
      </c>
    </row>
    <row r="139" spans="1:21" hidden="1">
      <c r="A139" s="18" t="str">
        <f t="shared" si="24"/>
        <v/>
      </c>
      <c r="B139" s="29">
        <f t="shared" si="25"/>
        <v>0</v>
      </c>
      <c r="C139" s="30">
        <f t="shared" si="26"/>
        <v>0</v>
      </c>
      <c r="D139" s="30">
        <f t="shared" si="27"/>
        <v>0</v>
      </c>
      <c r="E139" s="30">
        <f t="shared" si="28"/>
        <v>0</v>
      </c>
      <c r="F139" s="30">
        <f t="shared" si="29"/>
        <v>0</v>
      </c>
      <c r="G139" s="31" t="str">
        <f t="shared" si="22"/>
        <v/>
      </c>
      <c r="I139" s="29">
        <f t="shared" si="30"/>
        <v>0</v>
      </c>
      <c r="J139" s="30">
        <f t="shared" si="31"/>
        <v>0</v>
      </c>
      <c r="K139" s="30">
        <f t="shared" si="32"/>
        <v>0</v>
      </c>
      <c r="L139" s="30">
        <f t="shared" si="33"/>
        <v>0</v>
      </c>
      <c r="M139" s="31">
        <f t="shared" si="34"/>
        <v>0</v>
      </c>
      <c r="N139" s="18" t="str">
        <f t="shared" si="35"/>
        <v/>
      </c>
      <c r="O139" s="52" t="str">
        <f>IF(N139="","",IF(O138="",1,LARGE($O$112:O138,1)+1))</f>
        <v/>
      </c>
      <c r="Q139" s="53" t="str">
        <f>IFERROR(IF($N139="","",IF($N139=Q$111,LARGE(Q$112:Q138,1)+1,"")),1)</f>
        <v/>
      </c>
      <c r="R139" s="53" t="str">
        <f>IFERROR(IF($N139="","",IF($N139=R$111,LARGE(R$112:R138,1)+1,"")),1)</f>
        <v/>
      </c>
      <c r="S139" s="53" t="str">
        <f>IFERROR(IF($N139="","",IF($N139=S$111,LARGE(S$112:S138,1)+1,"")),1)</f>
        <v/>
      </c>
      <c r="T139" s="53" t="str">
        <f>IFERROR(IF($N139="","",IF($N139=T$111,LARGE(T$112:T138,1)+1,"")),1)</f>
        <v/>
      </c>
      <c r="U139" s="53" t="str">
        <f>IFERROR(IF($N139="","",IF($N139=U$111,LARGE(U$112:U138,1)+1,"")),1)</f>
        <v/>
      </c>
    </row>
    <row r="140" spans="1:21" hidden="1">
      <c r="A140" s="18" t="str">
        <f t="shared" si="24"/>
        <v/>
      </c>
      <c r="B140" s="29">
        <f t="shared" si="25"/>
        <v>0</v>
      </c>
      <c r="C140" s="30">
        <f t="shared" si="26"/>
        <v>0</v>
      </c>
      <c r="D140" s="30">
        <f t="shared" si="27"/>
        <v>0</v>
      </c>
      <c r="E140" s="30">
        <f t="shared" si="28"/>
        <v>0</v>
      </c>
      <c r="F140" s="30">
        <f t="shared" si="29"/>
        <v>0</v>
      </c>
      <c r="G140" s="31" t="str">
        <f t="shared" si="22"/>
        <v/>
      </c>
      <c r="I140" s="29">
        <f t="shared" si="30"/>
        <v>0</v>
      </c>
      <c r="J140" s="30">
        <f t="shared" si="31"/>
        <v>0</v>
      </c>
      <c r="K140" s="30">
        <f t="shared" si="32"/>
        <v>0</v>
      </c>
      <c r="L140" s="30">
        <f t="shared" si="33"/>
        <v>0</v>
      </c>
      <c r="M140" s="31">
        <f t="shared" si="34"/>
        <v>0</v>
      </c>
      <c r="N140" s="18" t="str">
        <f t="shared" si="35"/>
        <v/>
      </c>
      <c r="O140" s="52" t="str">
        <f>IF(N140="","",IF(O139="",1,LARGE($O$112:O139,1)+1))</f>
        <v/>
      </c>
      <c r="Q140" s="53" t="str">
        <f>IFERROR(IF($N140="","",IF($N140=Q$111,LARGE(Q$112:Q139,1)+1,"")),1)</f>
        <v/>
      </c>
      <c r="R140" s="53" t="str">
        <f>IFERROR(IF($N140="","",IF($N140=R$111,LARGE(R$112:R139,1)+1,"")),1)</f>
        <v/>
      </c>
      <c r="S140" s="53" t="str">
        <f>IFERROR(IF($N140="","",IF($N140=S$111,LARGE(S$112:S139,1)+1,"")),1)</f>
        <v/>
      </c>
      <c r="T140" s="53" t="str">
        <f>IFERROR(IF($N140="","",IF($N140=T$111,LARGE(T$112:T139,1)+1,"")),1)</f>
        <v/>
      </c>
      <c r="U140" s="53" t="str">
        <f>IFERROR(IF($N140="","",IF($N140=U$111,LARGE(U$112:U139,1)+1,"")),1)</f>
        <v/>
      </c>
    </row>
    <row r="141" spans="1:21" hidden="1">
      <c r="A141" s="18" t="str">
        <f t="shared" si="24"/>
        <v/>
      </c>
      <c r="B141" s="29">
        <f t="shared" si="25"/>
        <v>0</v>
      </c>
      <c r="C141" s="30">
        <f t="shared" si="26"/>
        <v>0</v>
      </c>
      <c r="D141" s="30">
        <f t="shared" si="27"/>
        <v>0</v>
      </c>
      <c r="E141" s="30">
        <f t="shared" si="28"/>
        <v>0</v>
      </c>
      <c r="F141" s="30">
        <f t="shared" si="29"/>
        <v>0</v>
      </c>
      <c r="G141" s="31" t="str">
        <f t="shared" si="22"/>
        <v/>
      </c>
      <c r="I141" s="29">
        <f t="shared" si="30"/>
        <v>0</v>
      </c>
      <c r="J141" s="30">
        <f t="shared" si="31"/>
        <v>0</v>
      </c>
      <c r="K141" s="30">
        <f t="shared" si="32"/>
        <v>0</v>
      </c>
      <c r="L141" s="30">
        <f t="shared" si="33"/>
        <v>0</v>
      </c>
      <c r="M141" s="31">
        <f t="shared" si="34"/>
        <v>0</v>
      </c>
      <c r="N141" s="18" t="str">
        <f t="shared" si="35"/>
        <v/>
      </c>
      <c r="O141" s="52" t="str">
        <f>IF(N141="","",IF(O140="",1,LARGE($O$112:O140,1)+1))</f>
        <v/>
      </c>
      <c r="Q141" s="53" t="str">
        <f>IFERROR(IF($N141="","",IF($N141=Q$111,LARGE(Q$112:Q140,1)+1,"")),1)</f>
        <v/>
      </c>
      <c r="R141" s="53" t="str">
        <f>IFERROR(IF($N141="","",IF($N141=R$111,LARGE(R$112:R140,1)+1,"")),1)</f>
        <v/>
      </c>
      <c r="S141" s="53" t="str">
        <f>IFERROR(IF($N141="","",IF($N141=S$111,LARGE(S$112:S140,1)+1,"")),1)</f>
        <v/>
      </c>
      <c r="T141" s="53" t="str">
        <f>IFERROR(IF($N141="","",IF($N141=T$111,LARGE(T$112:T140,1)+1,"")),1)</f>
        <v/>
      </c>
      <c r="U141" s="53" t="str">
        <f>IFERROR(IF($N141="","",IF($N141=U$111,LARGE(U$112:U140,1)+1,"")),1)</f>
        <v/>
      </c>
    </row>
    <row r="142" spans="1:21" hidden="1">
      <c r="A142" s="18" t="str">
        <f t="shared" si="24"/>
        <v/>
      </c>
      <c r="B142" s="29">
        <f t="shared" si="25"/>
        <v>0</v>
      </c>
      <c r="C142" s="30">
        <f t="shared" si="26"/>
        <v>0</v>
      </c>
      <c r="D142" s="30">
        <f t="shared" si="27"/>
        <v>0</v>
      </c>
      <c r="E142" s="30">
        <f t="shared" si="28"/>
        <v>0</v>
      </c>
      <c r="F142" s="30">
        <f t="shared" si="29"/>
        <v>0</v>
      </c>
      <c r="G142" s="31" t="str">
        <f t="shared" si="22"/>
        <v/>
      </c>
      <c r="I142" s="29">
        <f t="shared" si="30"/>
        <v>0</v>
      </c>
      <c r="J142" s="30">
        <f t="shared" si="31"/>
        <v>0</v>
      </c>
      <c r="K142" s="30">
        <f t="shared" si="32"/>
        <v>0</v>
      </c>
      <c r="L142" s="30">
        <f t="shared" si="33"/>
        <v>0</v>
      </c>
      <c r="M142" s="31">
        <f t="shared" si="34"/>
        <v>0</v>
      </c>
      <c r="N142" s="18" t="str">
        <f t="shared" si="35"/>
        <v/>
      </c>
      <c r="O142" s="52" t="str">
        <f>IF(N142="","",IF(O141="",1,LARGE($O$112:O141,1)+1))</f>
        <v/>
      </c>
      <c r="Q142" s="53" t="str">
        <f>IFERROR(IF($N142="","",IF($N142=Q$111,LARGE(Q$112:Q141,1)+1,"")),1)</f>
        <v/>
      </c>
      <c r="R142" s="53" t="str">
        <f>IFERROR(IF($N142="","",IF($N142=R$111,LARGE(R$112:R141,1)+1,"")),1)</f>
        <v/>
      </c>
      <c r="S142" s="53" t="str">
        <f>IFERROR(IF($N142="","",IF($N142=S$111,LARGE(S$112:S141,1)+1,"")),1)</f>
        <v/>
      </c>
      <c r="T142" s="53" t="str">
        <f>IFERROR(IF($N142="","",IF($N142=T$111,LARGE(T$112:T141,1)+1,"")),1)</f>
        <v/>
      </c>
      <c r="U142" s="53" t="str">
        <f>IFERROR(IF($N142="","",IF($N142=U$111,LARGE(U$112:U141,1)+1,"")),1)</f>
        <v/>
      </c>
    </row>
    <row r="143" spans="1:21" hidden="1">
      <c r="A143" s="18" t="str">
        <f t="shared" si="24"/>
        <v/>
      </c>
      <c r="B143" s="29">
        <f t="shared" si="25"/>
        <v>0</v>
      </c>
      <c r="C143" s="30">
        <f t="shared" si="26"/>
        <v>0</v>
      </c>
      <c r="D143" s="30">
        <f t="shared" si="27"/>
        <v>0</v>
      </c>
      <c r="E143" s="30">
        <f t="shared" si="28"/>
        <v>0</v>
      </c>
      <c r="F143" s="30">
        <f t="shared" si="29"/>
        <v>0</v>
      </c>
      <c r="G143" s="31" t="str">
        <f t="shared" si="22"/>
        <v/>
      </c>
      <c r="I143" s="29">
        <f t="shared" si="30"/>
        <v>0</v>
      </c>
      <c r="J143" s="30">
        <f t="shared" si="31"/>
        <v>0</v>
      </c>
      <c r="K143" s="30">
        <f t="shared" si="32"/>
        <v>0</v>
      </c>
      <c r="L143" s="30">
        <f t="shared" si="33"/>
        <v>0</v>
      </c>
      <c r="M143" s="31">
        <f t="shared" si="34"/>
        <v>0</v>
      </c>
      <c r="N143" s="18" t="str">
        <f t="shared" si="35"/>
        <v/>
      </c>
      <c r="O143" s="52" t="str">
        <f>IF(N143="","",IF(O142="",1,LARGE($O$112:O142,1)+1))</f>
        <v/>
      </c>
      <c r="Q143" s="53" t="str">
        <f>IFERROR(IF($N143="","",IF($N143=Q$111,LARGE(Q$112:Q142,1)+1,"")),1)</f>
        <v/>
      </c>
      <c r="R143" s="53" t="str">
        <f>IFERROR(IF($N143="","",IF($N143=R$111,LARGE(R$112:R142,1)+1,"")),1)</f>
        <v/>
      </c>
      <c r="S143" s="53" t="str">
        <f>IFERROR(IF($N143="","",IF($N143=S$111,LARGE(S$112:S142,1)+1,"")),1)</f>
        <v/>
      </c>
      <c r="T143" s="53" t="str">
        <f>IFERROR(IF($N143="","",IF($N143=T$111,LARGE(T$112:T142,1)+1,"")),1)</f>
        <v/>
      </c>
      <c r="U143" s="53" t="str">
        <f>IFERROR(IF($N143="","",IF($N143=U$111,LARGE(U$112:U142,1)+1,"")),1)</f>
        <v/>
      </c>
    </row>
    <row r="144" spans="1:21" hidden="1">
      <c r="A144" s="18" t="str">
        <f t="shared" si="24"/>
        <v/>
      </c>
      <c r="B144" s="29">
        <f t="shared" si="25"/>
        <v>0</v>
      </c>
      <c r="C144" s="30">
        <f t="shared" si="26"/>
        <v>0</v>
      </c>
      <c r="D144" s="30">
        <f t="shared" si="27"/>
        <v>0</v>
      </c>
      <c r="E144" s="30">
        <f t="shared" si="28"/>
        <v>0</v>
      </c>
      <c r="F144" s="30">
        <f t="shared" si="29"/>
        <v>0</v>
      </c>
      <c r="G144" s="31" t="str">
        <f t="shared" ref="G144:G175" si="36">IF(SUM(B144:F144)=0,"",INDEX($B$110:$F$110,MATCH(Q39,B144:F144,0)))</f>
        <v/>
      </c>
      <c r="I144" s="29">
        <f t="shared" si="30"/>
        <v>0</v>
      </c>
      <c r="J144" s="30">
        <f t="shared" si="31"/>
        <v>0</v>
      </c>
      <c r="K144" s="30">
        <f t="shared" si="32"/>
        <v>0</v>
      </c>
      <c r="L144" s="30">
        <f t="shared" si="33"/>
        <v>0</v>
      </c>
      <c r="M144" s="31">
        <f t="shared" si="34"/>
        <v>0</v>
      </c>
      <c r="N144" s="18" t="str">
        <f t="shared" si="35"/>
        <v/>
      </c>
      <c r="O144" s="52" t="str">
        <f>IF(N144="","",IF(O143="",1,LARGE($O$112:O143,1)+1))</f>
        <v/>
      </c>
      <c r="Q144" s="53" t="str">
        <f>IFERROR(IF($N144="","",IF($N144=Q$111,LARGE(Q$112:Q143,1)+1,"")),1)</f>
        <v/>
      </c>
      <c r="R144" s="53" t="str">
        <f>IFERROR(IF($N144="","",IF($N144=R$111,LARGE(R$112:R143,1)+1,"")),1)</f>
        <v/>
      </c>
      <c r="S144" s="53" t="str">
        <f>IFERROR(IF($N144="","",IF($N144=S$111,LARGE(S$112:S143,1)+1,"")),1)</f>
        <v/>
      </c>
      <c r="T144" s="53" t="str">
        <f>IFERROR(IF($N144="","",IF($N144=T$111,LARGE(T$112:T143,1)+1,"")),1)</f>
        <v/>
      </c>
      <c r="U144" s="53" t="str">
        <f>IFERROR(IF($N144="","",IF($N144=U$111,LARGE(U$112:U143,1)+1,"")),1)</f>
        <v/>
      </c>
    </row>
    <row r="145" spans="1:21" hidden="1">
      <c r="A145" s="18" t="str">
        <f t="shared" si="24"/>
        <v/>
      </c>
      <c r="B145" s="29">
        <f t="shared" si="25"/>
        <v>0</v>
      </c>
      <c r="C145" s="30">
        <f t="shared" si="26"/>
        <v>0</v>
      </c>
      <c r="D145" s="30">
        <f t="shared" si="27"/>
        <v>0</v>
      </c>
      <c r="E145" s="30">
        <f t="shared" si="28"/>
        <v>0</v>
      </c>
      <c r="F145" s="30">
        <f t="shared" si="29"/>
        <v>0</v>
      </c>
      <c r="G145" s="31" t="str">
        <f t="shared" si="36"/>
        <v/>
      </c>
      <c r="I145" s="29">
        <f t="shared" si="30"/>
        <v>0</v>
      </c>
      <c r="J145" s="30">
        <f t="shared" si="31"/>
        <v>0</v>
      </c>
      <c r="K145" s="30">
        <f t="shared" si="32"/>
        <v>0</v>
      </c>
      <c r="L145" s="30">
        <f t="shared" si="33"/>
        <v>0</v>
      </c>
      <c r="M145" s="31">
        <f t="shared" si="34"/>
        <v>0</v>
      </c>
      <c r="N145" s="18" t="str">
        <f t="shared" si="35"/>
        <v/>
      </c>
      <c r="O145" s="52" t="str">
        <f>IF(N145="","",IF(O144="",1,LARGE($O$112:O144,1)+1))</f>
        <v/>
      </c>
      <c r="Q145" s="53" t="str">
        <f>IFERROR(IF($N145="","",IF($N145=Q$111,LARGE(Q$112:Q144,1)+1,"")),1)</f>
        <v/>
      </c>
      <c r="R145" s="53" t="str">
        <f>IFERROR(IF($N145="","",IF($N145=R$111,LARGE(R$112:R144,1)+1,"")),1)</f>
        <v/>
      </c>
      <c r="S145" s="53" t="str">
        <f>IFERROR(IF($N145="","",IF($N145=S$111,LARGE(S$112:S144,1)+1,"")),1)</f>
        <v/>
      </c>
      <c r="T145" s="53" t="str">
        <f>IFERROR(IF($N145="","",IF($N145=T$111,LARGE(T$112:T144,1)+1,"")),1)</f>
        <v/>
      </c>
      <c r="U145" s="53" t="str">
        <f>IFERROR(IF($N145="","",IF($N145=U$111,LARGE(U$112:U144,1)+1,"")),1)</f>
        <v/>
      </c>
    </row>
    <row r="146" spans="1:21" hidden="1">
      <c r="A146" s="18" t="str">
        <f t="shared" si="24"/>
        <v/>
      </c>
      <c r="B146" s="29">
        <f t="shared" si="25"/>
        <v>0</v>
      </c>
      <c r="C146" s="30">
        <f t="shared" si="26"/>
        <v>0</v>
      </c>
      <c r="D146" s="30">
        <f t="shared" si="27"/>
        <v>0</v>
      </c>
      <c r="E146" s="30">
        <f t="shared" si="28"/>
        <v>0</v>
      </c>
      <c r="F146" s="30">
        <f t="shared" si="29"/>
        <v>0</v>
      </c>
      <c r="G146" s="31" t="str">
        <f t="shared" si="36"/>
        <v/>
      </c>
      <c r="I146" s="29">
        <f t="shared" si="30"/>
        <v>0</v>
      </c>
      <c r="J146" s="30">
        <f t="shared" si="31"/>
        <v>0</v>
      </c>
      <c r="K146" s="30">
        <f t="shared" si="32"/>
        <v>0</v>
      </c>
      <c r="L146" s="30">
        <f t="shared" si="33"/>
        <v>0</v>
      </c>
      <c r="M146" s="31">
        <f t="shared" si="34"/>
        <v>0</v>
      </c>
      <c r="N146" s="18" t="str">
        <f t="shared" si="35"/>
        <v/>
      </c>
      <c r="O146" s="52" t="str">
        <f>IF(N146="","",IF(O145="",1,LARGE($O$112:O145,1)+1))</f>
        <v/>
      </c>
      <c r="Q146" s="53" t="str">
        <f>IFERROR(IF($N146="","",IF($N146=Q$111,LARGE(Q$112:Q145,1)+1,"")),1)</f>
        <v/>
      </c>
      <c r="R146" s="53" t="str">
        <f>IFERROR(IF($N146="","",IF($N146=R$111,LARGE(R$112:R145,1)+1,"")),1)</f>
        <v/>
      </c>
      <c r="S146" s="53" t="str">
        <f>IFERROR(IF($N146="","",IF($N146=S$111,LARGE(S$112:S145,1)+1,"")),1)</f>
        <v/>
      </c>
      <c r="T146" s="53" t="str">
        <f>IFERROR(IF($N146="","",IF($N146=T$111,LARGE(T$112:T145,1)+1,"")),1)</f>
        <v/>
      </c>
      <c r="U146" s="53" t="str">
        <f>IFERROR(IF($N146="","",IF($N146=U$111,LARGE(U$112:U145,1)+1,"")),1)</f>
        <v/>
      </c>
    </row>
    <row r="147" spans="1:21" hidden="1">
      <c r="A147" s="18" t="str">
        <f t="shared" si="24"/>
        <v/>
      </c>
      <c r="B147" s="29">
        <f t="shared" si="25"/>
        <v>0</v>
      </c>
      <c r="C147" s="30">
        <f t="shared" si="26"/>
        <v>0</v>
      </c>
      <c r="D147" s="30">
        <f t="shared" si="27"/>
        <v>0</v>
      </c>
      <c r="E147" s="30">
        <f t="shared" si="28"/>
        <v>0</v>
      </c>
      <c r="F147" s="30">
        <f t="shared" si="29"/>
        <v>0</v>
      </c>
      <c r="G147" s="31" t="str">
        <f t="shared" si="36"/>
        <v/>
      </c>
      <c r="I147" s="29">
        <f t="shared" si="30"/>
        <v>0</v>
      </c>
      <c r="J147" s="30">
        <f t="shared" si="31"/>
        <v>0</v>
      </c>
      <c r="K147" s="30">
        <f t="shared" si="32"/>
        <v>0</v>
      </c>
      <c r="L147" s="30">
        <f t="shared" si="33"/>
        <v>0</v>
      </c>
      <c r="M147" s="31">
        <f t="shared" si="34"/>
        <v>0</v>
      </c>
      <c r="N147" s="18" t="str">
        <f t="shared" si="35"/>
        <v/>
      </c>
      <c r="O147" s="52" t="str">
        <f>IF(N147="","",IF(O146="",1,LARGE($O$112:O146,1)+1))</f>
        <v/>
      </c>
      <c r="Q147" s="53" t="str">
        <f>IFERROR(IF($N147="","",IF($N147=Q$111,LARGE(Q$112:Q146,1)+1,"")),1)</f>
        <v/>
      </c>
      <c r="R147" s="53" t="str">
        <f>IFERROR(IF($N147="","",IF($N147=R$111,LARGE(R$112:R146,1)+1,"")),1)</f>
        <v/>
      </c>
      <c r="S147" s="53" t="str">
        <f>IFERROR(IF($N147="","",IF($N147=S$111,LARGE(S$112:S146,1)+1,"")),1)</f>
        <v/>
      </c>
      <c r="T147" s="53" t="str">
        <f>IFERROR(IF($N147="","",IF($N147=T$111,LARGE(T$112:T146,1)+1,"")),1)</f>
        <v/>
      </c>
      <c r="U147" s="53" t="str">
        <f>IFERROR(IF($N147="","",IF($N147=U$111,LARGE(U$112:U146,1)+1,"")),1)</f>
        <v/>
      </c>
    </row>
    <row r="148" spans="1:21" hidden="1">
      <c r="A148" s="18" t="str">
        <f t="shared" si="24"/>
        <v/>
      </c>
      <c r="B148" s="29">
        <f t="shared" si="25"/>
        <v>0</v>
      </c>
      <c r="C148" s="30">
        <f t="shared" si="26"/>
        <v>0</v>
      </c>
      <c r="D148" s="30">
        <f t="shared" si="27"/>
        <v>0</v>
      </c>
      <c r="E148" s="30">
        <f t="shared" si="28"/>
        <v>0</v>
      </c>
      <c r="F148" s="30">
        <f t="shared" si="29"/>
        <v>0</v>
      </c>
      <c r="G148" s="31" t="str">
        <f t="shared" si="36"/>
        <v/>
      </c>
      <c r="I148" s="29">
        <f t="shared" si="30"/>
        <v>0</v>
      </c>
      <c r="J148" s="30">
        <f t="shared" si="31"/>
        <v>0</v>
      </c>
      <c r="K148" s="30">
        <f t="shared" si="32"/>
        <v>0</v>
      </c>
      <c r="L148" s="30">
        <f t="shared" si="33"/>
        <v>0</v>
      </c>
      <c r="M148" s="31">
        <f t="shared" si="34"/>
        <v>0</v>
      </c>
      <c r="N148" s="18" t="str">
        <f t="shared" si="35"/>
        <v/>
      </c>
      <c r="O148" s="52" t="str">
        <f>IF(N148="","",IF(O147="",1,LARGE($O$112:O147,1)+1))</f>
        <v/>
      </c>
      <c r="Q148" s="53" t="str">
        <f>IFERROR(IF($N148="","",IF($N148=Q$111,LARGE(Q$112:Q147,1)+1,"")),1)</f>
        <v/>
      </c>
      <c r="R148" s="53" t="str">
        <f>IFERROR(IF($N148="","",IF($N148=R$111,LARGE(R$112:R147,1)+1,"")),1)</f>
        <v/>
      </c>
      <c r="S148" s="53" t="str">
        <f>IFERROR(IF($N148="","",IF($N148=S$111,LARGE(S$112:S147,1)+1,"")),1)</f>
        <v/>
      </c>
      <c r="T148" s="53" t="str">
        <f>IFERROR(IF($N148="","",IF($N148=T$111,LARGE(T$112:T147,1)+1,"")),1)</f>
        <v/>
      </c>
      <c r="U148" s="53" t="str">
        <f>IFERROR(IF($N148="","",IF($N148=U$111,LARGE(U$112:U147,1)+1,"")),1)</f>
        <v/>
      </c>
    </row>
    <row r="149" spans="1:21" hidden="1">
      <c r="A149" s="18" t="str">
        <f t="shared" si="24"/>
        <v/>
      </c>
      <c r="B149" s="29">
        <f t="shared" si="25"/>
        <v>0</v>
      </c>
      <c r="C149" s="30">
        <f t="shared" si="26"/>
        <v>0</v>
      </c>
      <c r="D149" s="30">
        <f t="shared" si="27"/>
        <v>0</v>
      </c>
      <c r="E149" s="30">
        <f t="shared" si="28"/>
        <v>0</v>
      </c>
      <c r="F149" s="30">
        <f t="shared" si="29"/>
        <v>0</v>
      </c>
      <c r="G149" s="31" t="str">
        <f t="shared" si="36"/>
        <v/>
      </c>
      <c r="I149" s="29">
        <f t="shared" si="30"/>
        <v>0</v>
      </c>
      <c r="J149" s="30">
        <f t="shared" si="31"/>
        <v>0</v>
      </c>
      <c r="K149" s="30">
        <f t="shared" si="32"/>
        <v>0</v>
      </c>
      <c r="L149" s="30">
        <f t="shared" si="33"/>
        <v>0</v>
      </c>
      <c r="M149" s="31">
        <f t="shared" si="34"/>
        <v>0</v>
      </c>
      <c r="N149" s="18" t="str">
        <f t="shared" si="35"/>
        <v/>
      </c>
      <c r="O149" s="52" t="str">
        <f>IF(N149="","",IF(O148="",1,LARGE($O$112:O148,1)+1))</f>
        <v/>
      </c>
      <c r="Q149" s="53" t="str">
        <f>IFERROR(IF($N149="","",IF($N149=Q$111,LARGE(Q$112:Q148,1)+1,"")),1)</f>
        <v/>
      </c>
      <c r="R149" s="53" t="str">
        <f>IFERROR(IF($N149="","",IF($N149=R$111,LARGE(R$112:R148,1)+1,"")),1)</f>
        <v/>
      </c>
      <c r="S149" s="53" t="str">
        <f>IFERROR(IF($N149="","",IF($N149=S$111,LARGE(S$112:S148,1)+1,"")),1)</f>
        <v/>
      </c>
      <c r="T149" s="53" t="str">
        <f>IFERROR(IF($N149="","",IF($N149=T$111,LARGE(T$112:T148,1)+1,"")),1)</f>
        <v/>
      </c>
      <c r="U149" s="53" t="str">
        <f>IFERROR(IF($N149="","",IF($N149=U$111,LARGE(U$112:U148,1)+1,"")),1)</f>
        <v/>
      </c>
    </row>
    <row r="150" spans="1:21" hidden="1">
      <c r="A150" s="18" t="str">
        <f t="shared" si="24"/>
        <v/>
      </c>
      <c r="B150" s="29">
        <f t="shared" si="25"/>
        <v>0</v>
      </c>
      <c r="C150" s="30">
        <f t="shared" si="26"/>
        <v>0</v>
      </c>
      <c r="D150" s="30">
        <f t="shared" si="27"/>
        <v>0</v>
      </c>
      <c r="E150" s="30">
        <f t="shared" si="28"/>
        <v>0</v>
      </c>
      <c r="F150" s="30">
        <f t="shared" si="29"/>
        <v>0</v>
      </c>
      <c r="G150" s="31" t="str">
        <f t="shared" si="36"/>
        <v/>
      </c>
      <c r="I150" s="29">
        <f t="shared" si="30"/>
        <v>0</v>
      </c>
      <c r="J150" s="30">
        <f t="shared" si="31"/>
        <v>0</v>
      </c>
      <c r="K150" s="30">
        <f t="shared" si="32"/>
        <v>0</v>
      </c>
      <c r="L150" s="30">
        <f t="shared" si="33"/>
        <v>0</v>
      </c>
      <c r="M150" s="31">
        <f t="shared" si="34"/>
        <v>0</v>
      </c>
      <c r="N150" s="18" t="str">
        <f t="shared" si="35"/>
        <v/>
      </c>
      <c r="O150" s="52" t="str">
        <f>IF(N150="","",IF(O149="",1,LARGE($O$112:O149,1)+1))</f>
        <v/>
      </c>
      <c r="Q150" s="53" t="str">
        <f>IFERROR(IF($N150="","",IF($N150=Q$111,LARGE(Q$112:Q149,1)+1,"")),1)</f>
        <v/>
      </c>
      <c r="R150" s="53" t="str">
        <f>IFERROR(IF($N150="","",IF($N150=R$111,LARGE(R$112:R149,1)+1,"")),1)</f>
        <v/>
      </c>
      <c r="S150" s="53" t="str">
        <f>IFERROR(IF($N150="","",IF($N150=S$111,LARGE(S$112:S149,1)+1,"")),1)</f>
        <v/>
      </c>
      <c r="T150" s="53" t="str">
        <f>IFERROR(IF($N150="","",IF($N150=T$111,LARGE(T$112:T149,1)+1,"")),1)</f>
        <v/>
      </c>
      <c r="U150" s="53" t="str">
        <f>IFERROR(IF($N150="","",IF($N150=U$111,LARGE(U$112:U149,1)+1,"")),1)</f>
        <v/>
      </c>
    </row>
    <row r="151" spans="1:21" hidden="1">
      <c r="A151" s="18" t="str">
        <f t="shared" si="24"/>
        <v/>
      </c>
      <c r="B151" s="29">
        <f t="shared" si="25"/>
        <v>0</v>
      </c>
      <c r="C151" s="30">
        <f t="shared" si="26"/>
        <v>0</v>
      </c>
      <c r="D151" s="30">
        <f t="shared" si="27"/>
        <v>0</v>
      </c>
      <c r="E151" s="30">
        <f t="shared" si="28"/>
        <v>0</v>
      </c>
      <c r="F151" s="30">
        <f t="shared" si="29"/>
        <v>0</v>
      </c>
      <c r="G151" s="31" t="str">
        <f t="shared" si="36"/>
        <v/>
      </c>
      <c r="I151" s="29">
        <f t="shared" si="30"/>
        <v>0</v>
      </c>
      <c r="J151" s="30">
        <f t="shared" si="31"/>
        <v>0</v>
      </c>
      <c r="K151" s="30">
        <f t="shared" si="32"/>
        <v>0</v>
      </c>
      <c r="L151" s="30">
        <f t="shared" si="33"/>
        <v>0</v>
      </c>
      <c r="M151" s="31">
        <f t="shared" si="34"/>
        <v>0</v>
      </c>
      <c r="N151" s="18" t="str">
        <f t="shared" si="35"/>
        <v/>
      </c>
      <c r="O151" s="52" t="str">
        <f>IF(N151="","",IF(O150="",1,LARGE($O$112:O150,1)+1))</f>
        <v/>
      </c>
      <c r="Q151" s="53" t="str">
        <f>IFERROR(IF($N151="","",IF($N151=Q$111,LARGE(Q$112:Q150,1)+1,"")),1)</f>
        <v/>
      </c>
      <c r="R151" s="53" t="str">
        <f>IFERROR(IF($N151="","",IF($N151=R$111,LARGE(R$112:R150,1)+1,"")),1)</f>
        <v/>
      </c>
      <c r="S151" s="53" t="str">
        <f>IFERROR(IF($N151="","",IF($N151=S$111,LARGE(S$112:S150,1)+1,"")),1)</f>
        <v/>
      </c>
      <c r="T151" s="53" t="str">
        <f>IFERROR(IF($N151="","",IF($N151=T$111,LARGE(T$112:T150,1)+1,"")),1)</f>
        <v/>
      </c>
      <c r="U151" s="53" t="str">
        <f>IFERROR(IF($N151="","",IF($N151=U$111,LARGE(U$112:U150,1)+1,"")),1)</f>
        <v/>
      </c>
    </row>
    <row r="152" spans="1:21" hidden="1">
      <c r="A152" s="18" t="str">
        <f t="shared" si="24"/>
        <v/>
      </c>
      <c r="B152" s="29">
        <f t="shared" si="25"/>
        <v>0</v>
      </c>
      <c r="C152" s="30">
        <f t="shared" si="26"/>
        <v>0</v>
      </c>
      <c r="D152" s="30">
        <f t="shared" si="27"/>
        <v>0</v>
      </c>
      <c r="E152" s="30">
        <f t="shared" si="28"/>
        <v>0</v>
      </c>
      <c r="F152" s="30">
        <f t="shared" si="29"/>
        <v>0</v>
      </c>
      <c r="G152" s="31" t="str">
        <f t="shared" si="36"/>
        <v/>
      </c>
      <c r="I152" s="29">
        <f t="shared" si="30"/>
        <v>0</v>
      </c>
      <c r="J152" s="30">
        <f t="shared" si="31"/>
        <v>0</v>
      </c>
      <c r="K152" s="30">
        <f t="shared" si="32"/>
        <v>0</v>
      </c>
      <c r="L152" s="30">
        <f t="shared" si="33"/>
        <v>0</v>
      </c>
      <c r="M152" s="31">
        <f t="shared" si="34"/>
        <v>0</v>
      </c>
      <c r="N152" s="18" t="str">
        <f t="shared" si="35"/>
        <v/>
      </c>
      <c r="O152" s="52" t="str">
        <f>IF(N152="","",IF(O151="",1,LARGE($O$112:O151,1)+1))</f>
        <v/>
      </c>
      <c r="Q152" s="53" t="str">
        <f>IFERROR(IF($N152="","",IF($N152=Q$111,LARGE(Q$112:Q151,1)+1,"")),1)</f>
        <v/>
      </c>
      <c r="R152" s="53" t="str">
        <f>IFERROR(IF($N152="","",IF($N152=R$111,LARGE(R$112:R151,1)+1,"")),1)</f>
        <v/>
      </c>
      <c r="S152" s="53" t="str">
        <f>IFERROR(IF($N152="","",IF($N152=S$111,LARGE(S$112:S151,1)+1,"")),1)</f>
        <v/>
      </c>
      <c r="T152" s="53" t="str">
        <f>IFERROR(IF($N152="","",IF($N152=T$111,LARGE(T$112:T151,1)+1,"")),1)</f>
        <v/>
      </c>
      <c r="U152" s="53" t="str">
        <f>IFERROR(IF($N152="","",IF($N152=U$111,LARGE(U$112:U151,1)+1,"")),1)</f>
        <v/>
      </c>
    </row>
    <row r="153" spans="1:21" hidden="1">
      <c r="A153" s="18" t="str">
        <f t="shared" si="24"/>
        <v/>
      </c>
      <c r="B153" s="29">
        <f t="shared" si="25"/>
        <v>0</v>
      </c>
      <c r="C153" s="30">
        <f t="shared" si="26"/>
        <v>0</v>
      </c>
      <c r="D153" s="30">
        <f t="shared" si="27"/>
        <v>0</v>
      </c>
      <c r="E153" s="30">
        <f t="shared" si="28"/>
        <v>0</v>
      </c>
      <c r="F153" s="30">
        <f t="shared" si="29"/>
        <v>0</v>
      </c>
      <c r="G153" s="31" t="str">
        <f t="shared" si="36"/>
        <v/>
      </c>
      <c r="I153" s="29">
        <f t="shared" si="30"/>
        <v>0</v>
      </c>
      <c r="J153" s="30">
        <f t="shared" si="31"/>
        <v>0</v>
      </c>
      <c r="K153" s="30">
        <f t="shared" si="32"/>
        <v>0</v>
      </c>
      <c r="L153" s="30">
        <f t="shared" si="33"/>
        <v>0</v>
      </c>
      <c r="M153" s="31">
        <f t="shared" si="34"/>
        <v>0</v>
      </c>
      <c r="N153" s="18" t="str">
        <f t="shared" si="35"/>
        <v/>
      </c>
      <c r="O153" s="52" t="str">
        <f>IF(N153="","",IF(O152="",1,LARGE($O$112:O152,1)+1))</f>
        <v/>
      </c>
      <c r="Q153" s="53" t="str">
        <f>IFERROR(IF($N153="","",IF($N153=Q$111,LARGE(Q$112:Q152,1)+1,"")),1)</f>
        <v/>
      </c>
      <c r="R153" s="53" t="str">
        <f>IFERROR(IF($N153="","",IF($N153=R$111,LARGE(R$112:R152,1)+1,"")),1)</f>
        <v/>
      </c>
      <c r="S153" s="53" t="str">
        <f>IFERROR(IF($N153="","",IF($N153=S$111,LARGE(S$112:S152,1)+1,"")),1)</f>
        <v/>
      </c>
      <c r="T153" s="53" t="str">
        <f>IFERROR(IF($N153="","",IF($N153=T$111,LARGE(T$112:T152,1)+1,"")),1)</f>
        <v/>
      </c>
      <c r="U153" s="53" t="str">
        <f>IFERROR(IF($N153="","",IF($N153=U$111,LARGE(U$112:U152,1)+1,"")),1)</f>
        <v/>
      </c>
    </row>
    <row r="154" spans="1:21" hidden="1">
      <c r="A154" s="18" t="str">
        <f t="shared" si="24"/>
        <v/>
      </c>
      <c r="B154" s="29">
        <f t="shared" si="25"/>
        <v>0</v>
      </c>
      <c r="C154" s="30">
        <f t="shared" si="26"/>
        <v>0</v>
      </c>
      <c r="D154" s="30">
        <f t="shared" si="27"/>
        <v>0</v>
      </c>
      <c r="E154" s="30">
        <f t="shared" si="28"/>
        <v>0</v>
      </c>
      <c r="F154" s="30">
        <f t="shared" si="29"/>
        <v>0</v>
      </c>
      <c r="G154" s="31" t="str">
        <f t="shared" si="36"/>
        <v/>
      </c>
      <c r="I154" s="29">
        <f t="shared" si="30"/>
        <v>0</v>
      </c>
      <c r="J154" s="30">
        <f t="shared" si="31"/>
        <v>0</v>
      </c>
      <c r="K154" s="30">
        <f t="shared" si="32"/>
        <v>0</v>
      </c>
      <c r="L154" s="30">
        <f t="shared" si="33"/>
        <v>0</v>
      </c>
      <c r="M154" s="31">
        <f t="shared" si="34"/>
        <v>0</v>
      </c>
      <c r="N154" s="18" t="str">
        <f t="shared" si="35"/>
        <v/>
      </c>
      <c r="O154" s="52" t="str">
        <f>IF(N154="","",IF(O153="",1,LARGE($O$112:O153,1)+1))</f>
        <v/>
      </c>
      <c r="Q154" s="53" t="str">
        <f>IFERROR(IF($N154="","",IF($N154=Q$111,LARGE(Q$112:Q153,1)+1,"")),1)</f>
        <v/>
      </c>
      <c r="R154" s="53" t="str">
        <f>IFERROR(IF($N154="","",IF($N154=R$111,LARGE(R$112:R153,1)+1,"")),1)</f>
        <v/>
      </c>
      <c r="S154" s="53" t="str">
        <f>IFERROR(IF($N154="","",IF($N154=S$111,LARGE(S$112:S153,1)+1,"")),1)</f>
        <v/>
      </c>
      <c r="T154" s="53" t="str">
        <f>IFERROR(IF($N154="","",IF($N154=T$111,LARGE(T$112:T153,1)+1,"")),1)</f>
        <v/>
      </c>
      <c r="U154" s="53" t="str">
        <f>IFERROR(IF($N154="","",IF($N154=U$111,LARGE(U$112:U153,1)+1,"")),1)</f>
        <v/>
      </c>
    </row>
    <row r="155" spans="1:21" hidden="1">
      <c r="A155" s="18" t="str">
        <f t="shared" si="24"/>
        <v/>
      </c>
      <c r="B155" s="29">
        <f t="shared" si="25"/>
        <v>0</v>
      </c>
      <c r="C155" s="30">
        <f t="shared" si="26"/>
        <v>0</v>
      </c>
      <c r="D155" s="30">
        <f t="shared" si="27"/>
        <v>0</v>
      </c>
      <c r="E155" s="30">
        <f t="shared" si="28"/>
        <v>0</v>
      </c>
      <c r="F155" s="30">
        <f t="shared" si="29"/>
        <v>0</v>
      </c>
      <c r="G155" s="31" t="str">
        <f t="shared" si="36"/>
        <v/>
      </c>
      <c r="I155" s="29">
        <f t="shared" si="30"/>
        <v>0</v>
      </c>
      <c r="J155" s="30">
        <f t="shared" si="31"/>
        <v>0</v>
      </c>
      <c r="K155" s="30">
        <f t="shared" si="32"/>
        <v>0</v>
      </c>
      <c r="L155" s="30">
        <f t="shared" si="33"/>
        <v>0</v>
      </c>
      <c r="M155" s="31">
        <f t="shared" si="34"/>
        <v>0</v>
      </c>
      <c r="N155" s="18" t="str">
        <f t="shared" si="35"/>
        <v/>
      </c>
      <c r="O155" s="52" t="str">
        <f>IF(N155="","",IF(O154="",1,LARGE($O$112:O154,1)+1))</f>
        <v/>
      </c>
      <c r="Q155" s="53" t="str">
        <f>IFERROR(IF($N155="","",IF($N155=Q$111,LARGE(Q$112:Q154,1)+1,"")),1)</f>
        <v/>
      </c>
      <c r="R155" s="53" t="str">
        <f>IFERROR(IF($N155="","",IF($N155=R$111,LARGE(R$112:R154,1)+1,"")),1)</f>
        <v/>
      </c>
      <c r="S155" s="53" t="str">
        <f>IFERROR(IF($N155="","",IF($N155=S$111,LARGE(S$112:S154,1)+1,"")),1)</f>
        <v/>
      </c>
      <c r="T155" s="53" t="str">
        <f>IFERROR(IF($N155="","",IF($N155=T$111,LARGE(T$112:T154,1)+1,"")),1)</f>
        <v/>
      </c>
      <c r="U155" s="53" t="str">
        <f>IFERROR(IF($N155="","",IF($N155=U$111,LARGE(U$112:U154,1)+1,"")),1)</f>
        <v/>
      </c>
    </row>
    <row r="156" spans="1:21" hidden="1">
      <c r="A156" s="18" t="str">
        <f t="shared" si="24"/>
        <v/>
      </c>
      <c r="B156" s="29">
        <f t="shared" si="25"/>
        <v>0</v>
      </c>
      <c r="C156" s="30">
        <f t="shared" si="26"/>
        <v>0</v>
      </c>
      <c r="D156" s="30">
        <f t="shared" si="27"/>
        <v>0</v>
      </c>
      <c r="E156" s="30">
        <f t="shared" si="28"/>
        <v>0</v>
      </c>
      <c r="F156" s="30">
        <f t="shared" si="29"/>
        <v>0</v>
      </c>
      <c r="G156" s="31" t="str">
        <f t="shared" si="36"/>
        <v/>
      </c>
      <c r="I156" s="29">
        <f t="shared" si="30"/>
        <v>0</v>
      </c>
      <c r="J156" s="30">
        <f t="shared" si="31"/>
        <v>0</v>
      </c>
      <c r="K156" s="30">
        <f t="shared" si="32"/>
        <v>0</v>
      </c>
      <c r="L156" s="30">
        <f t="shared" si="33"/>
        <v>0</v>
      </c>
      <c r="M156" s="31">
        <f t="shared" si="34"/>
        <v>0</v>
      </c>
      <c r="N156" s="18" t="str">
        <f t="shared" si="35"/>
        <v/>
      </c>
      <c r="O156" s="52" t="str">
        <f>IF(N156="","",IF(O155="",1,LARGE($O$112:O155,1)+1))</f>
        <v/>
      </c>
      <c r="Q156" s="53" t="str">
        <f>IFERROR(IF($N156="","",IF($N156=Q$111,LARGE(Q$112:Q155,1)+1,"")),1)</f>
        <v/>
      </c>
      <c r="R156" s="53" t="str">
        <f>IFERROR(IF($N156="","",IF($N156=R$111,LARGE(R$112:R155,1)+1,"")),1)</f>
        <v/>
      </c>
      <c r="S156" s="53" t="str">
        <f>IFERROR(IF($N156="","",IF($N156=S$111,LARGE(S$112:S155,1)+1,"")),1)</f>
        <v/>
      </c>
      <c r="T156" s="53" t="str">
        <f>IFERROR(IF($N156="","",IF($N156=T$111,LARGE(T$112:T155,1)+1,"")),1)</f>
        <v/>
      </c>
      <c r="U156" s="53" t="str">
        <f>IFERROR(IF($N156="","",IF($N156=U$111,LARGE(U$112:U155,1)+1,"")),1)</f>
        <v/>
      </c>
    </row>
    <row r="157" spans="1:21" hidden="1">
      <c r="A157" s="18" t="str">
        <f t="shared" si="24"/>
        <v/>
      </c>
      <c r="B157" s="29">
        <f t="shared" si="25"/>
        <v>0</v>
      </c>
      <c r="C157" s="30">
        <f t="shared" si="26"/>
        <v>0</v>
      </c>
      <c r="D157" s="30">
        <f t="shared" si="27"/>
        <v>0</v>
      </c>
      <c r="E157" s="30">
        <f t="shared" si="28"/>
        <v>0</v>
      </c>
      <c r="F157" s="30">
        <f t="shared" si="29"/>
        <v>0</v>
      </c>
      <c r="G157" s="31" t="str">
        <f t="shared" si="36"/>
        <v/>
      </c>
      <c r="I157" s="29">
        <f t="shared" si="30"/>
        <v>0</v>
      </c>
      <c r="J157" s="30">
        <f t="shared" si="31"/>
        <v>0</v>
      </c>
      <c r="K157" s="30">
        <f t="shared" si="32"/>
        <v>0</v>
      </c>
      <c r="L157" s="30">
        <f t="shared" si="33"/>
        <v>0</v>
      </c>
      <c r="M157" s="31">
        <f t="shared" si="34"/>
        <v>0</v>
      </c>
      <c r="N157" s="18" t="str">
        <f t="shared" si="35"/>
        <v/>
      </c>
      <c r="O157" s="52" t="str">
        <f>IF(N157="","",IF(O156="",1,LARGE($O$112:O156,1)+1))</f>
        <v/>
      </c>
      <c r="Q157" s="53" t="str">
        <f>IFERROR(IF($N157="","",IF($N157=Q$111,LARGE(Q$112:Q156,1)+1,"")),1)</f>
        <v/>
      </c>
      <c r="R157" s="53" t="str">
        <f>IFERROR(IF($N157="","",IF($N157=R$111,LARGE(R$112:R156,1)+1,"")),1)</f>
        <v/>
      </c>
      <c r="S157" s="53" t="str">
        <f>IFERROR(IF($N157="","",IF($N157=S$111,LARGE(S$112:S156,1)+1,"")),1)</f>
        <v/>
      </c>
      <c r="T157" s="53" t="str">
        <f>IFERROR(IF($N157="","",IF($N157=T$111,LARGE(T$112:T156,1)+1,"")),1)</f>
        <v/>
      </c>
      <c r="U157" s="53" t="str">
        <f>IFERROR(IF($N157="","",IF($N157=U$111,LARGE(U$112:U156,1)+1,"")),1)</f>
        <v/>
      </c>
    </row>
    <row r="158" spans="1:21" hidden="1">
      <c r="A158" s="18" t="str">
        <f t="shared" si="24"/>
        <v/>
      </c>
      <c r="B158" s="29">
        <f t="shared" si="25"/>
        <v>0</v>
      </c>
      <c r="C158" s="30">
        <f t="shared" si="26"/>
        <v>0</v>
      </c>
      <c r="D158" s="30">
        <f t="shared" si="27"/>
        <v>0</v>
      </c>
      <c r="E158" s="30">
        <f t="shared" si="28"/>
        <v>0</v>
      </c>
      <c r="F158" s="30">
        <f t="shared" si="29"/>
        <v>0</v>
      </c>
      <c r="G158" s="31" t="str">
        <f t="shared" si="36"/>
        <v/>
      </c>
      <c r="I158" s="29">
        <f t="shared" si="30"/>
        <v>0</v>
      </c>
      <c r="J158" s="30">
        <f t="shared" si="31"/>
        <v>0</v>
      </c>
      <c r="K158" s="30">
        <f t="shared" si="32"/>
        <v>0</v>
      </c>
      <c r="L158" s="30">
        <f t="shared" si="33"/>
        <v>0</v>
      </c>
      <c r="M158" s="31">
        <f t="shared" si="34"/>
        <v>0</v>
      </c>
      <c r="N158" s="18" t="str">
        <f t="shared" si="35"/>
        <v/>
      </c>
      <c r="O158" s="52" t="str">
        <f>IF(N158="","",IF(O157="",1,LARGE($O$112:O157,1)+1))</f>
        <v/>
      </c>
      <c r="Q158" s="53" t="str">
        <f>IFERROR(IF($N158="","",IF($N158=Q$111,LARGE(Q$112:Q157,1)+1,"")),1)</f>
        <v/>
      </c>
      <c r="R158" s="53" t="str">
        <f>IFERROR(IF($N158="","",IF($N158=R$111,LARGE(R$112:R157,1)+1,"")),1)</f>
        <v/>
      </c>
      <c r="S158" s="53" t="str">
        <f>IFERROR(IF($N158="","",IF($N158=S$111,LARGE(S$112:S157,1)+1,"")),1)</f>
        <v/>
      </c>
      <c r="T158" s="53" t="str">
        <f>IFERROR(IF($N158="","",IF($N158=T$111,LARGE(T$112:T157,1)+1,"")),1)</f>
        <v/>
      </c>
      <c r="U158" s="53" t="str">
        <f>IFERROR(IF($N158="","",IF($N158=U$111,LARGE(U$112:U157,1)+1,"")),1)</f>
        <v/>
      </c>
    </row>
    <row r="159" spans="1:21" hidden="1">
      <c r="A159" s="18" t="str">
        <f t="shared" si="24"/>
        <v/>
      </c>
      <c r="B159" s="29">
        <f t="shared" si="25"/>
        <v>0</v>
      </c>
      <c r="C159" s="30">
        <f t="shared" si="26"/>
        <v>0</v>
      </c>
      <c r="D159" s="30">
        <f t="shared" si="27"/>
        <v>0</v>
      </c>
      <c r="E159" s="30">
        <f t="shared" si="28"/>
        <v>0</v>
      </c>
      <c r="F159" s="30">
        <f t="shared" si="29"/>
        <v>0</v>
      </c>
      <c r="G159" s="31" t="str">
        <f t="shared" si="36"/>
        <v/>
      </c>
      <c r="I159" s="29">
        <f t="shared" si="30"/>
        <v>0</v>
      </c>
      <c r="J159" s="30">
        <f t="shared" si="31"/>
        <v>0</v>
      </c>
      <c r="K159" s="30">
        <f t="shared" si="32"/>
        <v>0</v>
      </c>
      <c r="L159" s="30">
        <f t="shared" si="33"/>
        <v>0</v>
      </c>
      <c r="M159" s="31">
        <f t="shared" si="34"/>
        <v>0</v>
      </c>
      <c r="N159" s="18" t="str">
        <f t="shared" si="35"/>
        <v/>
      </c>
      <c r="O159" s="52" t="str">
        <f>IF(N159="","",IF(O158="",1,LARGE($O$112:O158,1)+1))</f>
        <v/>
      </c>
      <c r="Q159" s="53" t="str">
        <f>IFERROR(IF($N159="","",IF($N159=Q$111,LARGE(Q$112:Q158,1)+1,"")),1)</f>
        <v/>
      </c>
      <c r="R159" s="53" t="str">
        <f>IFERROR(IF($N159="","",IF($N159=R$111,LARGE(R$112:R158,1)+1,"")),1)</f>
        <v/>
      </c>
      <c r="S159" s="53" t="str">
        <f>IFERROR(IF($N159="","",IF($N159=S$111,LARGE(S$112:S158,1)+1,"")),1)</f>
        <v/>
      </c>
      <c r="T159" s="53" t="str">
        <f>IFERROR(IF($N159="","",IF($N159=T$111,LARGE(T$112:T158,1)+1,"")),1)</f>
        <v/>
      </c>
      <c r="U159" s="53" t="str">
        <f>IFERROR(IF($N159="","",IF($N159=U$111,LARGE(U$112:U158,1)+1,"")),1)</f>
        <v/>
      </c>
    </row>
    <row r="160" spans="1:21" hidden="1">
      <c r="A160" s="18" t="str">
        <f t="shared" si="24"/>
        <v/>
      </c>
      <c r="B160" s="29">
        <f t="shared" si="25"/>
        <v>0</v>
      </c>
      <c r="C160" s="30">
        <f t="shared" si="26"/>
        <v>0</v>
      </c>
      <c r="D160" s="30">
        <f t="shared" si="27"/>
        <v>0</v>
      </c>
      <c r="E160" s="30">
        <f t="shared" si="28"/>
        <v>0</v>
      </c>
      <c r="F160" s="30">
        <f t="shared" si="29"/>
        <v>0</v>
      </c>
      <c r="G160" s="31" t="str">
        <f t="shared" si="36"/>
        <v/>
      </c>
      <c r="I160" s="29">
        <f t="shared" si="30"/>
        <v>0</v>
      </c>
      <c r="J160" s="30">
        <f t="shared" si="31"/>
        <v>0</v>
      </c>
      <c r="K160" s="30">
        <f t="shared" si="32"/>
        <v>0</v>
      </c>
      <c r="L160" s="30">
        <f t="shared" si="33"/>
        <v>0</v>
      </c>
      <c r="M160" s="31">
        <f t="shared" si="34"/>
        <v>0</v>
      </c>
      <c r="N160" s="18" t="str">
        <f t="shared" si="35"/>
        <v/>
      </c>
      <c r="O160" s="52" t="str">
        <f>IF(N160="","",IF(O159="",1,LARGE($O$112:O159,1)+1))</f>
        <v/>
      </c>
      <c r="Q160" s="53" t="str">
        <f>IFERROR(IF($N160="","",IF($N160=Q$111,LARGE(Q$112:Q159,1)+1,"")),1)</f>
        <v/>
      </c>
      <c r="R160" s="53" t="str">
        <f>IFERROR(IF($N160="","",IF($N160=R$111,LARGE(R$112:R159,1)+1,"")),1)</f>
        <v/>
      </c>
      <c r="S160" s="53" t="str">
        <f>IFERROR(IF($N160="","",IF($N160=S$111,LARGE(S$112:S159,1)+1,"")),1)</f>
        <v/>
      </c>
      <c r="T160" s="53" t="str">
        <f>IFERROR(IF($N160="","",IF($N160=T$111,LARGE(T$112:T159,1)+1,"")),1)</f>
        <v/>
      </c>
      <c r="U160" s="53" t="str">
        <f>IFERROR(IF($N160="","",IF($N160=U$111,LARGE(U$112:U159,1)+1,"")),1)</f>
        <v/>
      </c>
    </row>
    <row r="161" spans="1:21" hidden="1">
      <c r="A161" s="18" t="str">
        <f t="shared" si="24"/>
        <v/>
      </c>
      <c r="B161" s="29">
        <f t="shared" si="25"/>
        <v>0</v>
      </c>
      <c r="C161" s="30">
        <f t="shared" si="26"/>
        <v>0</v>
      </c>
      <c r="D161" s="30">
        <f t="shared" si="27"/>
        <v>0</v>
      </c>
      <c r="E161" s="30">
        <f t="shared" si="28"/>
        <v>0</v>
      </c>
      <c r="F161" s="30">
        <f t="shared" si="29"/>
        <v>0</v>
      </c>
      <c r="G161" s="31" t="str">
        <f t="shared" si="36"/>
        <v/>
      </c>
      <c r="I161" s="29">
        <f t="shared" si="30"/>
        <v>0</v>
      </c>
      <c r="J161" s="30">
        <f t="shared" si="31"/>
        <v>0</v>
      </c>
      <c r="K161" s="30">
        <f t="shared" si="32"/>
        <v>0</v>
      </c>
      <c r="L161" s="30">
        <f t="shared" si="33"/>
        <v>0</v>
      </c>
      <c r="M161" s="31">
        <f t="shared" si="34"/>
        <v>0</v>
      </c>
      <c r="N161" s="18" t="str">
        <f t="shared" si="35"/>
        <v/>
      </c>
      <c r="O161" s="52" t="str">
        <f>IF(N161="","",IF(O160="",1,LARGE($O$112:O160,1)+1))</f>
        <v/>
      </c>
      <c r="Q161" s="53" t="str">
        <f>IFERROR(IF($N161="","",IF($N161=Q$111,LARGE(Q$112:Q160,1)+1,"")),1)</f>
        <v/>
      </c>
      <c r="R161" s="53" t="str">
        <f>IFERROR(IF($N161="","",IF($N161=R$111,LARGE(R$112:R160,1)+1,"")),1)</f>
        <v/>
      </c>
      <c r="S161" s="53" t="str">
        <f>IFERROR(IF($N161="","",IF($N161=S$111,LARGE(S$112:S160,1)+1,"")),1)</f>
        <v/>
      </c>
      <c r="T161" s="53" t="str">
        <f>IFERROR(IF($N161="","",IF($N161=T$111,LARGE(T$112:T160,1)+1,"")),1)</f>
        <v/>
      </c>
      <c r="U161" s="53" t="str">
        <f>IFERROR(IF($N161="","",IF($N161=U$111,LARGE(U$112:U160,1)+1,"")),1)</f>
        <v/>
      </c>
    </row>
    <row r="162" spans="1:21" hidden="1">
      <c r="A162" s="18" t="str">
        <f t="shared" si="24"/>
        <v/>
      </c>
      <c r="B162" s="29">
        <f t="shared" si="25"/>
        <v>0</v>
      </c>
      <c r="C162" s="30">
        <f t="shared" si="26"/>
        <v>0</v>
      </c>
      <c r="D162" s="30">
        <f t="shared" si="27"/>
        <v>0</v>
      </c>
      <c r="E162" s="30">
        <f t="shared" si="28"/>
        <v>0</v>
      </c>
      <c r="F162" s="30">
        <f t="shared" si="29"/>
        <v>0</v>
      </c>
      <c r="G162" s="31" t="str">
        <f t="shared" si="36"/>
        <v/>
      </c>
      <c r="I162" s="29">
        <f t="shared" si="30"/>
        <v>0</v>
      </c>
      <c r="J162" s="30">
        <f t="shared" si="31"/>
        <v>0</v>
      </c>
      <c r="K162" s="30">
        <f t="shared" si="32"/>
        <v>0</v>
      </c>
      <c r="L162" s="30">
        <f t="shared" si="33"/>
        <v>0</v>
      </c>
      <c r="M162" s="31">
        <f t="shared" si="34"/>
        <v>0</v>
      </c>
      <c r="N162" s="18" t="str">
        <f t="shared" si="35"/>
        <v/>
      </c>
      <c r="O162" s="52" t="str">
        <f>IF(N162="","",IF(O161="",1,LARGE($O$112:O161,1)+1))</f>
        <v/>
      </c>
      <c r="Q162" s="53" t="str">
        <f>IFERROR(IF($N162="","",IF($N162=Q$111,LARGE(Q$112:Q161,1)+1,"")),1)</f>
        <v/>
      </c>
      <c r="R162" s="53" t="str">
        <f>IFERROR(IF($N162="","",IF($N162=R$111,LARGE(R$112:R161,1)+1,"")),1)</f>
        <v/>
      </c>
      <c r="S162" s="53" t="str">
        <f>IFERROR(IF($N162="","",IF($N162=S$111,LARGE(S$112:S161,1)+1,"")),1)</f>
        <v/>
      </c>
      <c r="T162" s="53" t="str">
        <f>IFERROR(IF($N162="","",IF($N162=T$111,LARGE(T$112:T161,1)+1,"")),1)</f>
        <v/>
      </c>
      <c r="U162" s="53" t="str">
        <f>IFERROR(IF($N162="","",IF($N162=U$111,LARGE(U$112:U161,1)+1,"")),1)</f>
        <v/>
      </c>
    </row>
    <row r="163" spans="1:21" hidden="1">
      <c r="A163" s="18" t="str">
        <f t="shared" si="24"/>
        <v/>
      </c>
      <c r="B163" s="29">
        <f t="shared" si="25"/>
        <v>0</v>
      </c>
      <c r="C163" s="30">
        <f t="shared" si="26"/>
        <v>0</v>
      </c>
      <c r="D163" s="30">
        <f t="shared" si="27"/>
        <v>0</v>
      </c>
      <c r="E163" s="30">
        <f t="shared" si="28"/>
        <v>0</v>
      </c>
      <c r="F163" s="30">
        <f t="shared" si="29"/>
        <v>0</v>
      </c>
      <c r="G163" s="31" t="str">
        <f t="shared" si="36"/>
        <v/>
      </c>
      <c r="I163" s="29">
        <f t="shared" si="30"/>
        <v>0</v>
      </c>
      <c r="J163" s="30">
        <f t="shared" si="31"/>
        <v>0</v>
      </c>
      <c r="K163" s="30">
        <f t="shared" si="32"/>
        <v>0</v>
      </c>
      <c r="L163" s="30">
        <f t="shared" si="33"/>
        <v>0</v>
      </c>
      <c r="M163" s="31">
        <f t="shared" si="34"/>
        <v>0</v>
      </c>
      <c r="N163" s="18" t="str">
        <f t="shared" si="35"/>
        <v/>
      </c>
      <c r="O163" s="52" t="str">
        <f>IF(N163="","",IF(O162="",1,LARGE($O$112:O162,1)+1))</f>
        <v/>
      </c>
      <c r="Q163" s="53" t="str">
        <f>IFERROR(IF($N163="","",IF($N163=Q$111,LARGE(Q$112:Q162,1)+1,"")),1)</f>
        <v/>
      </c>
      <c r="R163" s="53" t="str">
        <f>IFERROR(IF($N163="","",IF($N163=R$111,LARGE(R$112:R162,1)+1,"")),1)</f>
        <v/>
      </c>
      <c r="S163" s="53" t="str">
        <f>IFERROR(IF($N163="","",IF($N163=S$111,LARGE(S$112:S162,1)+1,"")),1)</f>
        <v/>
      </c>
      <c r="T163" s="53" t="str">
        <f>IFERROR(IF($N163="","",IF($N163=T$111,LARGE(T$112:T162,1)+1,"")),1)</f>
        <v/>
      </c>
      <c r="U163" s="53" t="str">
        <f>IFERROR(IF($N163="","",IF($N163=U$111,LARGE(U$112:U162,1)+1,"")),1)</f>
        <v/>
      </c>
    </row>
    <row r="164" spans="1:21" hidden="1">
      <c r="A164" s="18" t="str">
        <f t="shared" si="24"/>
        <v/>
      </c>
      <c r="B164" s="29">
        <f t="shared" si="25"/>
        <v>0</v>
      </c>
      <c r="C164" s="30">
        <f t="shared" si="26"/>
        <v>0</v>
      </c>
      <c r="D164" s="30">
        <f t="shared" si="27"/>
        <v>0</v>
      </c>
      <c r="E164" s="30">
        <f t="shared" si="28"/>
        <v>0</v>
      </c>
      <c r="F164" s="30">
        <f t="shared" si="29"/>
        <v>0</v>
      </c>
      <c r="G164" s="31" t="str">
        <f t="shared" si="36"/>
        <v/>
      </c>
      <c r="I164" s="29">
        <f t="shared" si="30"/>
        <v>0</v>
      </c>
      <c r="J164" s="30">
        <f t="shared" si="31"/>
        <v>0</v>
      </c>
      <c r="K164" s="30">
        <f t="shared" si="32"/>
        <v>0</v>
      </c>
      <c r="L164" s="30">
        <f t="shared" si="33"/>
        <v>0</v>
      </c>
      <c r="M164" s="31">
        <f t="shared" si="34"/>
        <v>0</v>
      </c>
      <c r="N164" s="18" t="str">
        <f t="shared" si="35"/>
        <v/>
      </c>
      <c r="O164" s="52" t="str">
        <f>IF(N164="","",IF(O163="",1,LARGE($O$112:O163,1)+1))</f>
        <v/>
      </c>
      <c r="Q164" s="53" t="str">
        <f>IFERROR(IF($N164="","",IF($N164=Q$111,LARGE(Q$112:Q163,1)+1,"")),1)</f>
        <v/>
      </c>
      <c r="R164" s="53" t="str">
        <f>IFERROR(IF($N164="","",IF($N164=R$111,LARGE(R$112:R163,1)+1,"")),1)</f>
        <v/>
      </c>
      <c r="S164" s="53" t="str">
        <f>IFERROR(IF($N164="","",IF($N164=S$111,LARGE(S$112:S163,1)+1,"")),1)</f>
        <v/>
      </c>
      <c r="T164" s="53" t="str">
        <f>IFERROR(IF($N164="","",IF($N164=T$111,LARGE(T$112:T163,1)+1,"")),1)</f>
        <v/>
      </c>
      <c r="U164" s="53" t="str">
        <f>IFERROR(IF($N164="","",IF($N164=U$111,LARGE(U$112:U163,1)+1,"")),1)</f>
        <v/>
      </c>
    </row>
    <row r="165" spans="1:21" hidden="1">
      <c r="A165" s="18" t="str">
        <f t="shared" si="24"/>
        <v/>
      </c>
      <c r="B165" s="29">
        <f t="shared" si="25"/>
        <v>0</v>
      </c>
      <c r="C165" s="30">
        <f t="shared" si="26"/>
        <v>0</v>
      </c>
      <c r="D165" s="30">
        <f t="shared" si="27"/>
        <v>0</v>
      </c>
      <c r="E165" s="30">
        <f t="shared" si="28"/>
        <v>0</v>
      </c>
      <c r="F165" s="30">
        <f t="shared" si="29"/>
        <v>0</v>
      </c>
      <c r="G165" s="31" t="str">
        <f t="shared" si="36"/>
        <v/>
      </c>
      <c r="I165" s="29">
        <f t="shared" si="30"/>
        <v>0</v>
      </c>
      <c r="J165" s="30">
        <f t="shared" si="31"/>
        <v>0</v>
      </c>
      <c r="K165" s="30">
        <f t="shared" si="32"/>
        <v>0</v>
      </c>
      <c r="L165" s="30">
        <f t="shared" si="33"/>
        <v>0</v>
      </c>
      <c r="M165" s="31">
        <f t="shared" si="34"/>
        <v>0</v>
      </c>
      <c r="N165" s="18" t="str">
        <f t="shared" si="35"/>
        <v/>
      </c>
      <c r="O165" s="52" t="str">
        <f>IF(N165="","",IF(O164="",1,LARGE($O$112:O164,1)+1))</f>
        <v/>
      </c>
      <c r="Q165" s="53" t="str">
        <f>IFERROR(IF($N165="","",IF($N165=Q$111,LARGE(Q$112:Q164,1)+1,"")),1)</f>
        <v/>
      </c>
      <c r="R165" s="53" t="str">
        <f>IFERROR(IF($N165="","",IF($N165=R$111,LARGE(R$112:R164,1)+1,"")),1)</f>
        <v/>
      </c>
      <c r="S165" s="53" t="str">
        <f>IFERROR(IF($N165="","",IF($N165=S$111,LARGE(S$112:S164,1)+1,"")),1)</f>
        <v/>
      </c>
      <c r="T165" s="53" t="str">
        <f>IFERROR(IF($N165="","",IF($N165=T$111,LARGE(T$112:T164,1)+1,"")),1)</f>
        <v/>
      </c>
      <c r="U165" s="53" t="str">
        <f>IFERROR(IF($N165="","",IF($N165=U$111,LARGE(U$112:U164,1)+1,"")),1)</f>
        <v/>
      </c>
    </row>
    <row r="166" spans="1:21" hidden="1">
      <c r="A166" s="18" t="str">
        <f t="shared" si="24"/>
        <v/>
      </c>
      <c r="B166" s="29">
        <f t="shared" si="25"/>
        <v>0</v>
      </c>
      <c r="C166" s="30">
        <f t="shared" si="26"/>
        <v>0</v>
      </c>
      <c r="D166" s="30">
        <f t="shared" si="27"/>
        <v>0</v>
      </c>
      <c r="E166" s="30">
        <f t="shared" si="28"/>
        <v>0</v>
      </c>
      <c r="F166" s="30">
        <f t="shared" si="29"/>
        <v>0</v>
      </c>
      <c r="G166" s="31" t="str">
        <f t="shared" si="36"/>
        <v/>
      </c>
      <c r="I166" s="29">
        <f t="shared" si="30"/>
        <v>0</v>
      </c>
      <c r="J166" s="30">
        <f t="shared" si="31"/>
        <v>0</v>
      </c>
      <c r="K166" s="30">
        <f t="shared" si="32"/>
        <v>0</v>
      </c>
      <c r="L166" s="30">
        <f t="shared" si="33"/>
        <v>0</v>
      </c>
      <c r="M166" s="31">
        <f t="shared" si="34"/>
        <v>0</v>
      </c>
      <c r="N166" s="18" t="str">
        <f t="shared" si="35"/>
        <v/>
      </c>
      <c r="O166" s="52" t="str">
        <f>IF(N166="","",IF(O165="",1,LARGE($O$112:O165,1)+1))</f>
        <v/>
      </c>
      <c r="Q166" s="53" t="str">
        <f>IFERROR(IF($N166="","",IF($N166=Q$111,LARGE(Q$112:Q165,1)+1,"")),1)</f>
        <v/>
      </c>
      <c r="R166" s="53" t="str">
        <f>IFERROR(IF($N166="","",IF($N166=R$111,LARGE(R$112:R165,1)+1,"")),1)</f>
        <v/>
      </c>
      <c r="S166" s="53" t="str">
        <f>IFERROR(IF($N166="","",IF($N166=S$111,LARGE(S$112:S165,1)+1,"")),1)</f>
        <v/>
      </c>
      <c r="T166" s="53" t="str">
        <f>IFERROR(IF($N166="","",IF($N166=T$111,LARGE(T$112:T165,1)+1,"")),1)</f>
        <v/>
      </c>
      <c r="U166" s="53" t="str">
        <f>IFERROR(IF($N166="","",IF($N166=U$111,LARGE(U$112:U165,1)+1,"")),1)</f>
        <v/>
      </c>
    </row>
    <row r="167" spans="1:21" hidden="1">
      <c r="A167" s="18" t="str">
        <f t="shared" si="24"/>
        <v/>
      </c>
      <c r="B167" s="29">
        <f t="shared" si="25"/>
        <v>0</v>
      </c>
      <c r="C167" s="30">
        <f t="shared" si="26"/>
        <v>0</v>
      </c>
      <c r="D167" s="30">
        <f t="shared" si="27"/>
        <v>0</v>
      </c>
      <c r="E167" s="30">
        <f t="shared" si="28"/>
        <v>0</v>
      </c>
      <c r="F167" s="30">
        <f t="shared" si="29"/>
        <v>0</v>
      </c>
      <c r="G167" s="31" t="str">
        <f t="shared" si="36"/>
        <v/>
      </c>
      <c r="I167" s="29">
        <f t="shared" si="30"/>
        <v>0</v>
      </c>
      <c r="J167" s="30">
        <f t="shared" si="31"/>
        <v>0</v>
      </c>
      <c r="K167" s="30">
        <f t="shared" si="32"/>
        <v>0</v>
      </c>
      <c r="L167" s="30">
        <f t="shared" si="33"/>
        <v>0</v>
      </c>
      <c r="M167" s="31">
        <f t="shared" si="34"/>
        <v>0</v>
      </c>
      <c r="N167" s="18" t="str">
        <f t="shared" si="35"/>
        <v/>
      </c>
      <c r="O167" s="52" t="str">
        <f>IF(N167="","",IF(O166="",1,LARGE($O$112:O166,1)+1))</f>
        <v/>
      </c>
      <c r="Q167" s="53" t="str">
        <f>IFERROR(IF($N167="","",IF($N167=Q$111,LARGE(Q$112:Q166,1)+1,"")),1)</f>
        <v/>
      </c>
      <c r="R167" s="53" t="str">
        <f>IFERROR(IF($N167="","",IF($N167=R$111,LARGE(R$112:R166,1)+1,"")),1)</f>
        <v/>
      </c>
      <c r="S167" s="53" t="str">
        <f>IFERROR(IF($N167="","",IF($N167=S$111,LARGE(S$112:S166,1)+1,"")),1)</f>
        <v/>
      </c>
      <c r="T167" s="53" t="str">
        <f>IFERROR(IF($N167="","",IF($N167=T$111,LARGE(T$112:T166,1)+1,"")),1)</f>
        <v/>
      </c>
      <c r="U167" s="53" t="str">
        <f>IFERROR(IF($N167="","",IF($N167=U$111,LARGE(U$112:U166,1)+1,"")),1)</f>
        <v/>
      </c>
    </row>
    <row r="168" spans="1:21" hidden="1">
      <c r="A168" s="18" t="str">
        <f t="shared" si="24"/>
        <v/>
      </c>
      <c r="B168" s="29">
        <f t="shared" si="25"/>
        <v>0</v>
      </c>
      <c r="C168" s="30">
        <f t="shared" si="26"/>
        <v>0</v>
      </c>
      <c r="D168" s="30">
        <f t="shared" si="27"/>
        <v>0</v>
      </c>
      <c r="E168" s="30">
        <f t="shared" si="28"/>
        <v>0</v>
      </c>
      <c r="F168" s="30">
        <f t="shared" si="29"/>
        <v>0</v>
      </c>
      <c r="G168" s="31" t="str">
        <f t="shared" si="36"/>
        <v/>
      </c>
      <c r="I168" s="29">
        <f t="shared" si="30"/>
        <v>0</v>
      </c>
      <c r="J168" s="30">
        <f t="shared" si="31"/>
        <v>0</v>
      </c>
      <c r="K168" s="30">
        <f t="shared" si="32"/>
        <v>0</v>
      </c>
      <c r="L168" s="30">
        <f t="shared" si="33"/>
        <v>0</v>
      </c>
      <c r="M168" s="31">
        <f t="shared" si="34"/>
        <v>0</v>
      </c>
      <c r="N168" s="18" t="str">
        <f t="shared" si="35"/>
        <v/>
      </c>
      <c r="O168" s="52" t="str">
        <f>IF(N168="","",IF(O167="",1,LARGE($O$112:O167,1)+1))</f>
        <v/>
      </c>
      <c r="Q168" s="53" t="str">
        <f>IFERROR(IF($N168="","",IF($N168=Q$111,LARGE(Q$112:Q167,1)+1,"")),1)</f>
        <v/>
      </c>
      <c r="R168" s="53" t="str">
        <f>IFERROR(IF($N168="","",IF($N168=R$111,LARGE(R$112:R167,1)+1,"")),1)</f>
        <v/>
      </c>
      <c r="S168" s="53" t="str">
        <f>IFERROR(IF($N168="","",IF($N168=S$111,LARGE(S$112:S167,1)+1,"")),1)</f>
        <v/>
      </c>
      <c r="T168" s="53" t="str">
        <f>IFERROR(IF($N168="","",IF($N168=T$111,LARGE(T$112:T167,1)+1,"")),1)</f>
        <v/>
      </c>
      <c r="U168" s="53" t="str">
        <f>IFERROR(IF($N168="","",IF($N168=U$111,LARGE(U$112:U167,1)+1,"")),1)</f>
        <v/>
      </c>
    </row>
    <row r="169" spans="1:21" hidden="1">
      <c r="A169" s="18" t="str">
        <f t="shared" si="24"/>
        <v/>
      </c>
      <c r="B169" s="29">
        <f t="shared" si="25"/>
        <v>0</v>
      </c>
      <c r="C169" s="30">
        <f t="shared" si="26"/>
        <v>0</v>
      </c>
      <c r="D169" s="30">
        <f t="shared" si="27"/>
        <v>0</v>
      </c>
      <c r="E169" s="30">
        <f t="shared" si="28"/>
        <v>0</v>
      </c>
      <c r="F169" s="30">
        <f t="shared" si="29"/>
        <v>0</v>
      </c>
      <c r="G169" s="31" t="str">
        <f t="shared" si="36"/>
        <v/>
      </c>
      <c r="I169" s="29">
        <f t="shared" si="30"/>
        <v>0</v>
      </c>
      <c r="J169" s="30">
        <f t="shared" si="31"/>
        <v>0</v>
      </c>
      <c r="K169" s="30">
        <f t="shared" si="32"/>
        <v>0</v>
      </c>
      <c r="L169" s="30">
        <f t="shared" si="33"/>
        <v>0</v>
      </c>
      <c r="M169" s="31">
        <f t="shared" si="34"/>
        <v>0</v>
      </c>
      <c r="N169" s="18" t="str">
        <f t="shared" si="35"/>
        <v/>
      </c>
      <c r="O169" s="52" t="str">
        <f>IF(N169="","",IF(O168="",1,LARGE($O$112:O168,1)+1))</f>
        <v/>
      </c>
      <c r="Q169" s="53" t="str">
        <f>IFERROR(IF($N169="","",IF($N169=Q$111,LARGE(Q$112:Q168,1)+1,"")),1)</f>
        <v/>
      </c>
      <c r="R169" s="53" t="str">
        <f>IFERROR(IF($N169="","",IF($N169=R$111,LARGE(R$112:R168,1)+1,"")),1)</f>
        <v/>
      </c>
      <c r="S169" s="53" t="str">
        <f>IFERROR(IF($N169="","",IF($N169=S$111,LARGE(S$112:S168,1)+1,"")),1)</f>
        <v/>
      </c>
      <c r="T169" s="53" t="str">
        <f>IFERROR(IF($N169="","",IF($N169=T$111,LARGE(T$112:T168,1)+1,"")),1)</f>
        <v/>
      </c>
      <c r="U169" s="53" t="str">
        <f>IFERROR(IF($N169="","",IF($N169=U$111,LARGE(U$112:U168,1)+1,"")),1)</f>
        <v/>
      </c>
    </row>
    <row r="170" spans="1:21" hidden="1">
      <c r="A170" s="18" t="str">
        <f t="shared" si="24"/>
        <v/>
      </c>
      <c r="B170" s="29">
        <f t="shared" si="25"/>
        <v>0</v>
      </c>
      <c r="C170" s="30">
        <f t="shared" si="26"/>
        <v>0</v>
      </c>
      <c r="D170" s="30">
        <f t="shared" si="27"/>
        <v>0</v>
      </c>
      <c r="E170" s="30">
        <f t="shared" si="28"/>
        <v>0</v>
      </c>
      <c r="F170" s="30">
        <f t="shared" si="29"/>
        <v>0</v>
      </c>
      <c r="G170" s="31" t="str">
        <f t="shared" si="36"/>
        <v/>
      </c>
      <c r="I170" s="29">
        <f t="shared" si="30"/>
        <v>0</v>
      </c>
      <c r="J170" s="30">
        <f t="shared" si="31"/>
        <v>0</v>
      </c>
      <c r="K170" s="30">
        <f t="shared" si="32"/>
        <v>0</v>
      </c>
      <c r="L170" s="30">
        <f t="shared" si="33"/>
        <v>0</v>
      </c>
      <c r="M170" s="31">
        <f t="shared" si="34"/>
        <v>0</v>
      </c>
      <c r="N170" s="18" t="str">
        <f t="shared" si="35"/>
        <v/>
      </c>
      <c r="O170" s="52" t="str">
        <f>IF(N170="","",IF(O169="",1,LARGE($O$112:O169,1)+1))</f>
        <v/>
      </c>
      <c r="Q170" s="53" t="str">
        <f>IFERROR(IF($N170="","",IF($N170=Q$111,LARGE(Q$112:Q169,1)+1,"")),1)</f>
        <v/>
      </c>
      <c r="R170" s="53" t="str">
        <f>IFERROR(IF($N170="","",IF($N170=R$111,LARGE(R$112:R169,1)+1,"")),1)</f>
        <v/>
      </c>
      <c r="S170" s="53" t="str">
        <f>IFERROR(IF($N170="","",IF($N170=S$111,LARGE(S$112:S169,1)+1,"")),1)</f>
        <v/>
      </c>
      <c r="T170" s="53" t="str">
        <f>IFERROR(IF($N170="","",IF($N170=T$111,LARGE(T$112:T169,1)+1,"")),1)</f>
        <v/>
      </c>
      <c r="U170" s="53" t="str">
        <f>IFERROR(IF($N170="","",IF($N170=U$111,LARGE(U$112:U169,1)+1,"")),1)</f>
        <v/>
      </c>
    </row>
    <row r="171" spans="1:21" hidden="1">
      <c r="A171" s="18" t="str">
        <f t="shared" si="24"/>
        <v/>
      </c>
      <c r="B171" s="29">
        <f t="shared" si="25"/>
        <v>0</v>
      </c>
      <c r="C171" s="30">
        <f t="shared" si="26"/>
        <v>0</v>
      </c>
      <c r="D171" s="30">
        <f t="shared" si="27"/>
        <v>0</v>
      </c>
      <c r="E171" s="30">
        <f t="shared" si="28"/>
        <v>0</v>
      </c>
      <c r="F171" s="30">
        <f t="shared" si="29"/>
        <v>0</v>
      </c>
      <c r="G171" s="31" t="str">
        <f t="shared" si="36"/>
        <v/>
      </c>
      <c r="I171" s="29">
        <f t="shared" si="30"/>
        <v>0</v>
      </c>
      <c r="J171" s="30">
        <f t="shared" si="31"/>
        <v>0</v>
      </c>
      <c r="K171" s="30">
        <f t="shared" si="32"/>
        <v>0</v>
      </c>
      <c r="L171" s="30">
        <f t="shared" si="33"/>
        <v>0</v>
      </c>
      <c r="M171" s="31">
        <f t="shared" si="34"/>
        <v>0</v>
      </c>
      <c r="N171" s="18" t="str">
        <f t="shared" si="35"/>
        <v/>
      </c>
      <c r="O171" s="52" t="str">
        <f>IF(N171="","",IF(O170="",1,LARGE($O$112:O170,1)+1))</f>
        <v/>
      </c>
      <c r="Q171" s="53" t="str">
        <f>IFERROR(IF($N171="","",IF($N171=Q$111,LARGE(Q$112:Q170,1)+1,"")),1)</f>
        <v/>
      </c>
      <c r="R171" s="53" t="str">
        <f>IFERROR(IF($N171="","",IF($N171=R$111,LARGE(R$112:R170,1)+1,"")),1)</f>
        <v/>
      </c>
      <c r="S171" s="53" t="str">
        <f>IFERROR(IF($N171="","",IF($N171=S$111,LARGE(S$112:S170,1)+1,"")),1)</f>
        <v/>
      </c>
      <c r="T171" s="53" t="str">
        <f>IFERROR(IF($N171="","",IF($N171=T$111,LARGE(T$112:T170,1)+1,"")),1)</f>
        <v/>
      </c>
      <c r="U171" s="53" t="str">
        <f>IFERROR(IF($N171="","",IF($N171=U$111,LARGE(U$112:U170,1)+1,"")),1)</f>
        <v/>
      </c>
    </row>
    <row r="172" spans="1:21" hidden="1">
      <c r="A172" s="18" t="str">
        <f t="shared" si="24"/>
        <v/>
      </c>
      <c r="B172" s="29">
        <f t="shared" si="25"/>
        <v>0</v>
      </c>
      <c r="C172" s="30">
        <f t="shared" si="26"/>
        <v>0</v>
      </c>
      <c r="D172" s="30">
        <f t="shared" si="27"/>
        <v>0</v>
      </c>
      <c r="E172" s="30">
        <f t="shared" si="28"/>
        <v>0</v>
      </c>
      <c r="F172" s="30">
        <f t="shared" si="29"/>
        <v>0</v>
      </c>
      <c r="G172" s="31" t="str">
        <f t="shared" si="36"/>
        <v/>
      </c>
      <c r="I172" s="29">
        <f t="shared" si="30"/>
        <v>0</v>
      </c>
      <c r="J172" s="30">
        <f t="shared" si="31"/>
        <v>0</v>
      </c>
      <c r="K172" s="30">
        <f t="shared" si="32"/>
        <v>0</v>
      </c>
      <c r="L172" s="30">
        <f t="shared" si="33"/>
        <v>0</v>
      </c>
      <c r="M172" s="31">
        <f t="shared" si="34"/>
        <v>0</v>
      </c>
      <c r="N172" s="18" t="str">
        <f t="shared" si="35"/>
        <v/>
      </c>
      <c r="O172" s="52" t="str">
        <f>IF(N172="","",IF(O171="",1,LARGE($O$112:O171,1)+1))</f>
        <v/>
      </c>
      <c r="Q172" s="53" t="str">
        <f>IFERROR(IF($N172="","",IF($N172=Q$111,LARGE(Q$112:Q171,1)+1,"")),1)</f>
        <v/>
      </c>
      <c r="R172" s="53" t="str">
        <f>IFERROR(IF($N172="","",IF($N172=R$111,LARGE(R$112:R171,1)+1,"")),1)</f>
        <v/>
      </c>
      <c r="S172" s="53" t="str">
        <f>IFERROR(IF($N172="","",IF($N172=S$111,LARGE(S$112:S171,1)+1,"")),1)</f>
        <v/>
      </c>
      <c r="T172" s="53" t="str">
        <f>IFERROR(IF($N172="","",IF($N172=T$111,LARGE(T$112:T171,1)+1,"")),1)</f>
        <v/>
      </c>
      <c r="U172" s="53" t="str">
        <f>IFERROR(IF($N172="","",IF($N172=U$111,LARGE(U$112:U171,1)+1,"")),1)</f>
        <v/>
      </c>
    </row>
    <row r="173" spans="1:21" hidden="1">
      <c r="A173" s="18" t="str">
        <f t="shared" si="24"/>
        <v/>
      </c>
      <c r="B173" s="29">
        <f t="shared" si="25"/>
        <v>0</v>
      </c>
      <c r="C173" s="30">
        <f t="shared" si="26"/>
        <v>0</v>
      </c>
      <c r="D173" s="30">
        <f t="shared" si="27"/>
        <v>0</v>
      </c>
      <c r="E173" s="30">
        <f t="shared" si="28"/>
        <v>0</v>
      </c>
      <c r="F173" s="30">
        <f t="shared" si="29"/>
        <v>0</v>
      </c>
      <c r="G173" s="31" t="str">
        <f t="shared" si="36"/>
        <v/>
      </c>
      <c r="I173" s="29">
        <f t="shared" si="30"/>
        <v>0</v>
      </c>
      <c r="J173" s="30">
        <f t="shared" si="31"/>
        <v>0</v>
      </c>
      <c r="K173" s="30">
        <f t="shared" si="32"/>
        <v>0</v>
      </c>
      <c r="L173" s="30">
        <f t="shared" si="33"/>
        <v>0</v>
      </c>
      <c r="M173" s="31">
        <f t="shared" si="34"/>
        <v>0</v>
      </c>
      <c r="N173" s="18" t="str">
        <f t="shared" si="35"/>
        <v/>
      </c>
      <c r="O173" s="52" t="str">
        <f>IF(N173="","",IF(O172="",1,LARGE($O$112:O172,1)+1))</f>
        <v/>
      </c>
      <c r="Q173" s="53" t="str">
        <f>IFERROR(IF($N173="","",IF($N173=Q$111,LARGE(Q$112:Q172,1)+1,"")),1)</f>
        <v/>
      </c>
      <c r="R173" s="53" t="str">
        <f>IFERROR(IF($N173="","",IF($N173=R$111,LARGE(R$112:R172,1)+1,"")),1)</f>
        <v/>
      </c>
      <c r="S173" s="53" t="str">
        <f>IFERROR(IF($N173="","",IF($N173=S$111,LARGE(S$112:S172,1)+1,"")),1)</f>
        <v/>
      </c>
      <c r="T173" s="53" t="str">
        <f>IFERROR(IF($N173="","",IF($N173=T$111,LARGE(T$112:T172,1)+1,"")),1)</f>
        <v/>
      </c>
      <c r="U173" s="53" t="str">
        <f>IFERROR(IF($N173="","",IF($N173=U$111,LARGE(U$112:U172,1)+1,"")),1)</f>
        <v/>
      </c>
    </row>
    <row r="174" spans="1:21" hidden="1">
      <c r="A174" s="18" t="str">
        <f t="shared" si="24"/>
        <v/>
      </c>
      <c r="B174" s="29">
        <f t="shared" si="25"/>
        <v>0</v>
      </c>
      <c r="C174" s="30">
        <f t="shared" si="26"/>
        <v>0</v>
      </c>
      <c r="D174" s="30">
        <f t="shared" si="27"/>
        <v>0</v>
      </c>
      <c r="E174" s="30">
        <f t="shared" si="28"/>
        <v>0</v>
      </c>
      <c r="F174" s="30">
        <f t="shared" si="29"/>
        <v>0</v>
      </c>
      <c r="G174" s="31" t="str">
        <f t="shared" si="36"/>
        <v/>
      </c>
      <c r="I174" s="29">
        <f t="shared" si="30"/>
        <v>0</v>
      </c>
      <c r="J174" s="30">
        <f t="shared" si="31"/>
        <v>0</v>
      </c>
      <c r="K174" s="30">
        <f t="shared" si="32"/>
        <v>0</v>
      </c>
      <c r="L174" s="30">
        <f t="shared" si="33"/>
        <v>0</v>
      </c>
      <c r="M174" s="31">
        <f t="shared" si="34"/>
        <v>0</v>
      </c>
      <c r="N174" s="18" t="str">
        <f t="shared" si="35"/>
        <v/>
      </c>
      <c r="O174" s="52" t="str">
        <f>IF(N174="","",IF(O173="",1,LARGE($O$112:O173,1)+1))</f>
        <v/>
      </c>
      <c r="Q174" s="53" t="str">
        <f>IFERROR(IF($N174="","",IF($N174=Q$111,LARGE(Q$112:Q173,1)+1,"")),1)</f>
        <v/>
      </c>
      <c r="R174" s="53" t="str">
        <f>IFERROR(IF($N174="","",IF($N174=R$111,LARGE(R$112:R173,1)+1,"")),1)</f>
        <v/>
      </c>
      <c r="S174" s="53" t="str">
        <f>IFERROR(IF($N174="","",IF($N174=S$111,LARGE(S$112:S173,1)+1,"")),1)</f>
        <v/>
      </c>
      <c r="T174" s="53" t="str">
        <f>IFERROR(IF($N174="","",IF($N174=T$111,LARGE(T$112:T173,1)+1,"")),1)</f>
        <v/>
      </c>
      <c r="U174" s="53" t="str">
        <f>IFERROR(IF($N174="","",IF($N174=U$111,LARGE(U$112:U173,1)+1,"")),1)</f>
        <v/>
      </c>
    </row>
    <row r="175" spans="1:21" hidden="1">
      <c r="A175" s="18" t="str">
        <f t="shared" si="24"/>
        <v/>
      </c>
      <c r="B175" s="29">
        <f t="shared" si="25"/>
        <v>0</v>
      </c>
      <c r="C175" s="30">
        <f t="shared" si="26"/>
        <v>0</v>
      </c>
      <c r="D175" s="30">
        <f t="shared" si="27"/>
        <v>0</v>
      </c>
      <c r="E175" s="30">
        <f t="shared" si="28"/>
        <v>0</v>
      </c>
      <c r="F175" s="30">
        <f t="shared" si="29"/>
        <v>0</v>
      </c>
      <c r="G175" s="31" t="str">
        <f t="shared" si="36"/>
        <v/>
      </c>
      <c r="I175" s="29">
        <f t="shared" si="30"/>
        <v>0</v>
      </c>
      <c r="J175" s="30">
        <f t="shared" si="31"/>
        <v>0</v>
      </c>
      <c r="K175" s="30">
        <f t="shared" si="32"/>
        <v>0</v>
      </c>
      <c r="L175" s="30">
        <f t="shared" si="33"/>
        <v>0</v>
      </c>
      <c r="M175" s="31">
        <f t="shared" si="34"/>
        <v>0</v>
      </c>
      <c r="N175" s="18" t="str">
        <f t="shared" si="35"/>
        <v/>
      </c>
      <c r="O175" s="52" t="str">
        <f>IF(N175="","",IF(O174="",1,LARGE($O$112:O174,1)+1))</f>
        <v/>
      </c>
      <c r="Q175" s="53" t="str">
        <f>IFERROR(IF($N175="","",IF($N175=Q$111,LARGE(Q$112:Q174,1)+1,"")),1)</f>
        <v/>
      </c>
      <c r="R175" s="53" t="str">
        <f>IFERROR(IF($N175="","",IF($N175=R$111,LARGE(R$112:R174,1)+1,"")),1)</f>
        <v/>
      </c>
      <c r="S175" s="53" t="str">
        <f>IFERROR(IF($N175="","",IF($N175=S$111,LARGE(S$112:S174,1)+1,"")),1)</f>
        <v/>
      </c>
      <c r="T175" s="53" t="str">
        <f>IFERROR(IF($N175="","",IF($N175=T$111,LARGE(T$112:T174,1)+1,"")),1)</f>
        <v/>
      </c>
      <c r="U175" s="53" t="str">
        <f>IFERROR(IF($N175="","",IF($N175=U$111,LARGE(U$112:U174,1)+1,"")),1)</f>
        <v/>
      </c>
    </row>
    <row r="176" spans="1:21" hidden="1">
      <c r="A176" s="18" t="str">
        <f t="shared" si="24"/>
        <v/>
      </c>
      <c r="B176" s="29">
        <f t="shared" si="25"/>
        <v>0</v>
      </c>
      <c r="C176" s="30">
        <f t="shared" si="26"/>
        <v>0</v>
      </c>
      <c r="D176" s="30">
        <f t="shared" si="27"/>
        <v>0</v>
      </c>
      <c r="E176" s="30">
        <f t="shared" si="28"/>
        <v>0</v>
      </c>
      <c r="F176" s="30">
        <f t="shared" si="29"/>
        <v>0</v>
      </c>
      <c r="G176" s="31" t="str">
        <f t="shared" ref="G176:G203" si="37">IF(SUM(B176:F176)=0,"",INDEX($B$110:$F$110,MATCH(Q71,B176:F176,0)))</f>
        <v/>
      </c>
      <c r="I176" s="29">
        <f t="shared" si="30"/>
        <v>0</v>
      </c>
      <c r="J176" s="30">
        <f t="shared" si="31"/>
        <v>0</v>
      </c>
      <c r="K176" s="30">
        <f t="shared" si="32"/>
        <v>0</v>
      </c>
      <c r="L176" s="30">
        <f t="shared" si="33"/>
        <v>0</v>
      </c>
      <c r="M176" s="31">
        <f t="shared" si="34"/>
        <v>0</v>
      </c>
      <c r="N176" s="18" t="str">
        <f t="shared" si="35"/>
        <v/>
      </c>
      <c r="O176" s="52" t="str">
        <f>IF(N176="","",IF(O175="",1,LARGE($O$112:O175,1)+1))</f>
        <v/>
      </c>
      <c r="Q176" s="53" t="str">
        <f>IFERROR(IF($N176="","",IF($N176=Q$111,LARGE(Q$112:Q175,1)+1,"")),1)</f>
        <v/>
      </c>
      <c r="R176" s="53" t="str">
        <f>IFERROR(IF($N176="","",IF($N176=R$111,LARGE(R$112:R175,1)+1,"")),1)</f>
        <v/>
      </c>
      <c r="S176" s="53" t="str">
        <f>IFERROR(IF($N176="","",IF($N176=S$111,LARGE(S$112:S175,1)+1,"")),1)</f>
        <v/>
      </c>
      <c r="T176" s="53" t="str">
        <f>IFERROR(IF($N176="","",IF($N176=T$111,LARGE(T$112:T175,1)+1,"")),1)</f>
        <v/>
      </c>
      <c r="U176" s="53" t="str">
        <f>IFERROR(IF($N176="","",IF($N176=U$111,LARGE(U$112:U175,1)+1,"")),1)</f>
        <v/>
      </c>
    </row>
    <row r="177" spans="1:21" hidden="1">
      <c r="A177" s="18" t="str">
        <f t="shared" ref="A177:A203" si="38">A72</f>
        <v/>
      </c>
      <c r="B177" s="29">
        <f t="shared" ref="B177:B203" si="39">F72</f>
        <v>0</v>
      </c>
      <c r="C177" s="30">
        <f t="shared" ref="C177:C203" si="40">H72</f>
        <v>0</v>
      </c>
      <c r="D177" s="30">
        <f t="shared" ref="D177:D203" si="41">J72</f>
        <v>0</v>
      </c>
      <c r="E177" s="30">
        <f t="shared" ref="E177:E203" si="42">L72</f>
        <v>0</v>
      </c>
      <c r="F177" s="30">
        <f t="shared" ref="F177:F203" si="43">N72</f>
        <v>0</v>
      </c>
      <c r="G177" s="31" t="str">
        <f t="shared" si="37"/>
        <v/>
      </c>
      <c r="I177" s="29">
        <f t="shared" ref="I177:I203" si="44">E72</f>
        <v>0</v>
      </c>
      <c r="J177" s="30">
        <f t="shared" ref="J177:J203" si="45">G72</f>
        <v>0</v>
      </c>
      <c r="K177" s="30">
        <f t="shared" ref="K177:K203" si="46">I72</f>
        <v>0</v>
      </c>
      <c r="L177" s="30">
        <f t="shared" ref="L177:L203" si="47">K72</f>
        <v>0</v>
      </c>
      <c r="M177" s="31">
        <f t="shared" ref="M177:M203" si="48">M72</f>
        <v>0</v>
      </c>
      <c r="N177" s="18" t="str">
        <f t="shared" ref="N177:N203" si="49">IF(SUM(I177:M177)=0,"",INDEX($I$110:$M$110,MATCH(O72,I177:M177,0)))</f>
        <v/>
      </c>
      <c r="O177" s="52" t="str">
        <f>IF(N177="","",IF(O176="",1,LARGE($O$112:O176,1)+1))</f>
        <v/>
      </c>
      <c r="Q177" s="53" t="str">
        <f>IFERROR(IF($N177="","",IF($N177=Q$111,LARGE(Q$112:Q176,1)+1,"")),1)</f>
        <v/>
      </c>
      <c r="R177" s="53" t="str">
        <f>IFERROR(IF($N177="","",IF($N177=R$111,LARGE(R$112:R176,1)+1,"")),1)</f>
        <v/>
      </c>
      <c r="S177" s="53" t="str">
        <f>IFERROR(IF($N177="","",IF($N177=S$111,LARGE(S$112:S176,1)+1,"")),1)</f>
        <v/>
      </c>
      <c r="T177" s="53" t="str">
        <f>IFERROR(IF($N177="","",IF($N177=T$111,LARGE(T$112:T176,1)+1,"")),1)</f>
        <v/>
      </c>
      <c r="U177" s="53" t="str">
        <f>IFERROR(IF($N177="","",IF($N177=U$111,LARGE(U$112:U176,1)+1,"")),1)</f>
        <v/>
      </c>
    </row>
    <row r="178" spans="1:21" hidden="1">
      <c r="A178" s="18" t="str">
        <f t="shared" si="38"/>
        <v/>
      </c>
      <c r="B178" s="29">
        <f t="shared" si="39"/>
        <v>0</v>
      </c>
      <c r="C178" s="30">
        <f t="shared" si="40"/>
        <v>0</v>
      </c>
      <c r="D178" s="30">
        <f t="shared" si="41"/>
        <v>0</v>
      </c>
      <c r="E178" s="30">
        <f t="shared" si="42"/>
        <v>0</v>
      </c>
      <c r="F178" s="30">
        <f t="shared" si="43"/>
        <v>0</v>
      </c>
      <c r="G178" s="31" t="str">
        <f t="shared" si="37"/>
        <v/>
      </c>
      <c r="I178" s="29">
        <f t="shared" si="44"/>
        <v>0</v>
      </c>
      <c r="J178" s="30">
        <f t="shared" si="45"/>
        <v>0</v>
      </c>
      <c r="K178" s="30">
        <f t="shared" si="46"/>
        <v>0</v>
      </c>
      <c r="L178" s="30">
        <f t="shared" si="47"/>
        <v>0</v>
      </c>
      <c r="M178" s="31">
        <f t="shared" si="48"/>
        <v>0</v>
      </c>
      <c r="N178" s="18" t="str">
        <f t="shared" si="49"/>
        <v/>
      </c>
      <c r="O178" s="52" t="str">
        <f>IF(N178="","",IF(O177="",1,LARGE($O$112:O177,1)+1))</f>
        <v/>
      </c>
      <c r="Q178" s="53" t="str">
        <f>IFERROR(IF($N178="","",IF($N178=Q$111,LARGE(Q$112:Q177,1)+1,"")),1)</f>
        <v/>
      </c>
      <c r="R178" s="53" t="str">
        <f>IFERROR(IF($N178="","",IF($N178=R$111,LARGE(R$112:R177,1)+1,"")),1)</f>
        <v/>
      </c>
      <c r="S178" s="53" t="str">
        <f>IFERROR(IF($N178="","",IF($N178=S$111,LARGE(S$112:S177,1)+1,"")),1)</f>
        <v/>
      </c>
      <c r="T178" s="53" t="str">
        <f>IFERROR(IF($N178="","",IF($N178=T$111,LARGE(T$112:T177,1)+1,"")),1)</f>
        <v/>
      </c>
      <c r="U178" s="53" t="str">
        <f>IFERROR(IF($N178="","",IF($N178=U$111,LARGE(U$112:U177,1)+1,"")),1)</f>
        <v/>
      </c>
    </row>
    <row r="179" spans="1:21" hidden="1">
      <c r="A179" s="18" t="str">
        <f t="shared" si="38"/>
        <v/>
      </c>
      <c r="B179" s="29">
        <f t="shared" si="39"/>
        <v>0</v>
      </c>
      <c r="C179" s="30">
        <f t="shared" si="40"/>
        <v>0</v>
      </c>
      <c r="D179" s="30">
        <f t="shared" si="41"/>
        <v>0</v>
      </c>
      <c r="E179" s="30">
        <f t="shared" si="42"/>
        <v>0</v>
      </c>
      <c r="F179" s="30">
        <f t="shared" si="43"/>
        <v>0</v>
      </c>
      <c r="G179" s="31" t="str">
        <f t="shared" si="37"/>
        <v/>
      </c>
      <c r="I179" s="29">
        <f t="shared" si="44"/>
        <v>0</v>
      </c>
      <c r="J179" s="30">
        <f t="shared" si="45"/>
        <v>0</v>
      </c>
      <c r="K179" s="30">
        <f t="shared" si="46"/>
        <v>0</v>
      </c>
      <c r="L179" s="30">
        <f t="shared" si="47"/>
        <v>0</v>
      </c>
      <c r="M179" s="31">
        <f t="shared" si="48"/>
        <v>0</v>
      </c>
      <c r="N179" s="18" t="str">
        <f t="shared" si="49"/>
        <v/>
      </c>
      <c r="O179" s="52" t="str">
        <f>IF(N179="","",IF(O178="",1,LARGE($O$112:O178,1)+1))</f>
        <v/>
      </c>
      <c r="Q179" s="53" t="str">
        <f>IFERROR(IF($N179="","",IF($N179=Q$111,LARGE(Q$112:Q178,1)+1,"")),1)</f>
        <v/>
      </c>
      <c r="R179" s="53" t="str">
        <f>IFERROR(IF($N179="","",IF($N179=R$111,LARGE(R$112:R178,1)+1,"")),1)</f>
        <v/>
      </c>
      <c r="S179" s="53" t="str">
        <f>IFERROR(IF($N179="","",IF($N179=S$111,LARGE(S$112:S178,1)+1,"")),1)</f>
        <v/>
      </c>
      <c r="T179" s="53" t="str">
        <f>IFERROR(IF($N179="","",IF($N179=T$111,LARGE(T$112:T178,1)+1,"")),1)</f>
        <v/>
      </c>
      <c r="U179" s="53" t="str">
        <f>IFERROR(IF($N179="","",IF($N179=U$111,LARGE(U$112:U178,1)+1,"")),1)</f>
        <v/>
      </c>
    </row>
    <row r="180" spans="1:21" hidden="1">
      <c r="A180" s="18" t="str">
        <f t="shared" si="38"/>
        <v/>
      </c>
      <c r="B180" s="29">
        <f t="shared" si="39"/>
        <v>0</v>
      </c>
      <c r="C180" s="30">
        <f t="shared" si="40"/>
        <v>0</v>
      </c>
      <c r="D180" s="30">
        <f t="shared" si="41"/>
        <v>0</v>
      </c>
      <c r="E180" s="30">
        <f t="shared" si="42"/>
        <v>0</v>
      </c>
      <c r="F180" s="30">
        <f t="shared" si="43"/>
        <v>0</v>
      </c>
      <c r="G180" s="31" t="str">
        <f t="shared" si="37"/>
        <v/>
      </c>
      <c r="I180" s="29">
        <f t="shared" si="44"/>
        <v>0</v>
      </c>
      <c r="J180" s="30">
        <f t="shared" si="45"/>
        <v>0</v>
      </c>
      <c r="K180" s="30">
        <f t="shared" si="46"/>
        <v>0</v>
      </c>
      <c r="L180" s="30">
        <f t="shared" si="47"/>
        <v>0</v>
      </c>
      <c r="M180" s="31">
        <f t="shared" si="48"/>
        <v>0</v>
      </c>
      <c r="N180" s="18" t="str">
        <f t="shared" si="49"/>
        <v/>
      </c>
      <c r="O180" s="52" t="str">
        <f>IF(N180="","",IF(O179="",1,LARGE($O$112:O179,1)+1))</f>
        <v/>
      </c>
      <c r="Q180" s="53" t="str">
        <f>IFERROR(IF($N180="","",IF($N180=Q$111,LARGE(Q$112:Q179,1)+1,"")),1)</f>
        <v/>
      </c>
      <c r="R180" s="53" t="str">
        <f>IFERROR(IF($N180="","",IF($N180=R$111,LARGE(R$112:R179,1)+1,"")),1)</f>
        <v/>
      </c>
      <c r="S180" s="53" t="str">
        <f>IFERROR(IF($N180="","",IF($N180=S$111,LARGE(S$112:S179,1)+1,"")),1)</f>
        <v/>
      </c>
      <c r="T180" s="53" t="str">
        <f>IFERROR(IF($N180="","",IF($N180=T$111,LARGE(T$112:T179,1)+1,"")),1)</f>
        <v/>
      </c>
      <c r="U180" s="53" t="str">
        <f>IFERROR(IF($N180="","",IF($N180=U$111,LARGE(U$112:U179,1)+1,"")),1)</f>
        <v/>
      </c>
    </row>
    <row r="181" spans="1:21" hidden="1">
      <c r="A181" s="18" t="str">
        <f t="shared" si="38"/>
        <v/>
      </c>
      <c r="B181" s="29">
        <f t="shared" si="39"/>
        <v>0</v>
      </c>
      <c r="C181" s="30">
        <f t="shared" si="40"/>
        <v>0</v>
      </c>
      <c r="D181" s="30">
        <f t="shared" si="41"/>
        <v>0</v>
      </c>
      <c r="E181" s="30">
        <f t="shared" si="42"/>
        <v>0</v>
      </c>
      <c r="F181" s="30">
        <f t="shared" si="43"/>
        <v>0</v>
      </c>
      <c r="G181" s="31" t="str">
        <f t="shared" si="37"/>
        <v/>
      </c>
      <c r="I181" s="29">
        <f t="shared" si="44"/>
        <v>0</v>
      </c>
      <c r="J181" s="30">
        <f t="shared" si="45"/>
        <v>0</v>
      </c>
      <c r="K181" s="30">
        <f t="shared" si="46"/>
        <v>0</v>
      </c>
      <c r="L181" s="30">
        <f t="shared" si="47"/>
        <v>0</v>
      </c>
      <c r="M181" s="31">
        <f t="shared" si="48"/>
        <v>0</v>
      </c>
      <c r="N181" s="18" t="str">
        <f t="shared" si="49"/>
        <v/>
      </c>
      <c r="O181" s="52" t="str">
        <f>IF(N181="","",IF(O180="",1,LARGE($O$112:O180,1)+1))</f>
        <v/>
      </c>
      <c r="Q181" s="53" t="str">
        <f>IFERROR(IF($N181="","",IF($N181=Q$111,LARGE(Q$112:Q180,1)+1,"")),1)</f>
        <v/>
      </c>
      <c r="R181" s="53" t="str">
        <f>IFERROR(IF($N181="","",IF($N181=R$111,LARGE(R$112:R180,1)+1,"")),1)</f>
        <v/>
      </c>
      <c r="S181" s="53" t="str">
        <f>IFERROR(IF($N181="","",IF($N181=S$111,LARGE(S$112:S180,1)+1,"")),1)</f>
        <v/>
      </c>
      <c r="T181" s="53" t="str">
        <f>IFERROR(IF($N181="","",IF($N181=T$111,LARGE(T$112:T180,1)+1,"")),1)</f>
        <v/>
      </c>
      <c r="U181" s="53" t="str">
        <f>IFERROR(IF($N181="","",IF($N181=U$111,LARGE(U$112:U180,1)+1,"")),1)</f>
        <v/>
      </c>
    </row>
    <row r="182" spans="1:21" hidden="1">
      <c r="A182" s="18" t="str">
        <f t="shared" si="38"/>
        <v/>
      </c>
      <c r="B182" s="29">
        <f t="shared" si="39"/>
        <v>0</v>
      </c>
      <c r="C182" s="30">
        <f t="shared" si="40"/>
        <v>0</v>
      </c>
      <c r="D182" s="30">
        <f t="shared" si="41"/>
        <v>0</v>
      </c>
      <c r="E182" s="30">
        <f t="shared" si="42"/>
        <v>0</v>
      </c>
      <c r="F182" s="30">
        <f t="shared" si="43"/>
        <v>0</v>
      </c>
      <c r="G182" s="31" t="str">
        <f t="shared" si="37"/>
        <v/>
      </c>
      <c r="I182" s="29">
        <f t="shared" si="44"/>
        <v>0</v>
      </c>
      <c r="J182" s="30">
        <f t="shared" si="45"/>
        <v>0</v>
      </c>
      <c r="K182" s="30">
        <f t="shared" si="46"/>
        <v>0</v>
      </c>
      <c r="L182" s="30">
        <f t="shared" si="47"/>
        <v>0</v>
      </c>
      <c r="M182" s="31">
        <f t="shared" si="48"/>
        <v>0</v>
      </c>
      <c r="N182" s="18" t="str">
        <f t="shared" si="49"/>
        <v/>
      </c>
      <c r="O182" s="52" t="str">
        <f>IF(N182="","",IF(O181="",1,LARGE($O$112:O181,1)+1))</f>
        <v/>
      </c>
      <c r="Q182" s="53" t="str">
        <f>IFERROR(IF($N182="","",IF($N182=Q$111,LARGE(Q$112:Q181,1)+1,"")),1)</f>
        <v/>
      </c>
      <c r="R182" s="53" t="str">
        <f>IFERROR(IF($N182="","",IF($N182=R$111,LARGE(R$112:R181,1)+1,"")),1)</f>
        <v/>
      </c>
      <c r="S182" s="53" t="str">
        <f>IFERROR(IF($N182="","",IF($N182=S$111,LARGE(S$112:S181,1)+1,"")),1)</f>
        <v/>
      </c>
      <c r="T182" s="53" t="str">
        <f>IFERROR(IF($N182="","",IF($N182=T$111,LARGE(T$112:T181,1)+1,"")),1)</f>
        <v/>
      </c>
      <c r="U182" s="53" t="str">
        <f>IFERROR(IF($N182="","",IF($N182=U$111,LARGE(U$112:U181,1)+1,"")),1)</f>
        <v/>
      </c>
    </row>
    <row r="183" spans="1:21" hidden="1">
      <c r="A183" s="18" t="str">
        <f t="shared" si="38"/>
        <v/>
      </c>
      <c r="B183" s="29">
        <f t="shared" si="39"/>
        <v>0</v>
      </c>
      <c r="C183" s="30">
        <f t="shared" si="40"/>
        <v>0</v>
      </c>
      <c r="D183" s="30">
        <f t="shared" si="41"/>
        <v>0</v>
      </c>
      <c r="E183" s="30">
        <f t="shared" si="42"/>
        <v>0</v>
      </c>
      <c r="F183" s="30">
        <f t="shared" si="43"/>
        <v>0</v>
      </c>
      <c r="G183" s="31" t="str">
        <f t="shared" si="37"/>
        <v/>
      </c>
      <c r="I183" s="29">
        <f t="shared" si="44"/>
        <v>0</v>
      </c>
      <c r="J183" s="30">
        <f t="shared" si="45"/>
        <v>0</v>
      </c>
      <c r="K183" s="30">
        <f t="shared" si="46"/>
        <v>0</v>
      </c>
      <c r="L183" s="30">
        <f t="shared" si="47"/>
        <v>0</v>
      </c>
      <c r="M183" s="31">
        <f t="shared" si="48"/>
        <v>0</v>
      </c>
      <c r="N183" s="18" t="str">
        <f t="shared" si="49"/>
        <v/>
      </c>
      <c r="O183" s="52" t="str">
        <f>IF(N183="","",IF(O182="",1,LARGE($O$112:O182,1)+1))</f>
        <v/>
      </c>
      <c r="Q183" s="53" t="str">
        <f>IFERROR(IF($N183="","",IF($N183=Q$111,LARGE(Q$112:Q182,1)+1,"")),1)</f>
        <v/>
      </c>
      <c r="R183" s="53" t="str">
        <f>IFERROR(IF($N183="","",IF($N183=R$111,LARGE(R$112:R182,1)+1,"")),1)</f>
        <v/>
      </c>
      <c r="S183" s="53" t="str">
        <f>IFERROR(IF($N183="","",IF($N183=S$111,LARGE(S$112:S182,1)+1,"")),1)</f>
        <v/>
      </c>
      <c r="T183" s="53" t="str">
        <f>IFERROR(IF($N183="","",IF($N183=T$111,LARGE(T$112:T182,1)+1,"")),1)</f>
        <v/>
      </c>
      <c r="U183" s="53" t="str">
        <f>IFERROR(IF($N183="","",IF($N183=U$111,LARGE(U$112:U182,1)+1,"")),1)</f>
        <v/>
      </c>
    </row>
    <row r="184" spans="1:21" hidden="1">
      <c r="A184" s="18" t="str">
        <f t="shared" si="38"/>
        <v/>
      </c>
      <c r="B184" s="29">
        <f t="shared" si="39"/>
        <v>0</v>
      </c>
      <c r="C184" s="30">
        <f t="shared" si="40"/>
        <v>0</v>
      </c>
      <c r="D184" s="30">
        <f t="shared" si="41"/>
        <v>0</v>
      </c>
      <c r="E184" s="30">
        <f t="shared" si="42"/>
        <v>0</v>
      </c>
      <c r="F184" s="30">
        <f t="shared" si="43"/>
        <v>0</v>
      </c>
      <c r="G184" s="31" t="str">
        <f t="shared" si="37"/>
        <v/>
      </c>
      <c r="I184" s="29">
        <f t="shared" si="44"/>
        <v>0</v>
      </c>
      <c r="J184" s="30">
        <f t="shared" si="45"/>
        <v>0</v>
      </c>
      <c r="K184" s="30">
        <f t="shared" si="46"/>
        <v>0</v>
      </c>
      <c r="L184" s="30">
        <f t="shared" si="47"/>
        <v>0</v>
      </c>
      <c r="M184" s="31">
        <f t="shared" si="48"/>
        <v>0</v>
      </c>
      <c r="N184" s="18" t="str">
        <f t="shared" si="49"/>
        <v/>
      </c>
      <c r="O184" s="52" t="str">
        <f>IF(N184="","",IF(O183="",1,LARGE($O$112:O183,1)+1))</f>
        <v/>
      </c>
      <c r="Q184" s="53" t="str">
        <f>IFERROR(IF($N184="","",IF($N184=Q$111,LARGE(Q$112:Q183,1)+1,"")),1)</f>
        <v/>
      </c>
      <c r="R184" s="53" t="str">
        <f>IFERROR(IF($N184="","",IF($N184=R$111,LARGE(R$112:R183,1)+1,"")),1)</f>
        <v/>
      </c>
      <c r="S184" s="53" t="str">
        <f>IFERROR(IF($N184="","",IF($N184=S$111,LARGE(S$112:S183,1)+1,"")),1)</f>
        <v/>
      </c>
      <c r="T184" s="53" t="str">
        <f>IFERROR(IF($N184="","",IF($N184=T$111,LARGE(T$112:T183,1)+1,"")),1)</f>
        <v/>
      </c>
      <c r="U184" s="53" t="str">
        <f>IFERROR(IF($N184="","",IF($N184=U$111,LARGE(U$112:U183,1)+1,"")),1)</f>
        <v/>
      </c>
    </row>
    <row r="185" spans="1:21" hidden="1">
      <c r="A185" s="18" t="str">
        <f t="shared" si="38"/>
        <v/>
      </c>
      <c r="B185" s="29">
        <f t="shared" si="39"/>
        <v>0</v>
      </c>
      <c r="C185" s="30">
        <f t="shared" si="40"/>
        <v>0</v>
      </c>
      <c r="D185" s="30">
        <f t="shared" si="41"/>
        <v>0</v>
      </c>
      <c r="E185" s="30">
        <f t="shared" si="42"/>
        <v>0</v>
      </c>
      <c r="F185" s="30">
        <f t="shared" si="43"/>
        <v>0</v>
      </c>
      <c r="G185" s="31" t="str">
        <f t="shared" si="37"/>
        <v/>
      </c>
      <c r="I185" s="29">
        <f t="shared" si="44"/>
        <v>0</v>
      </c>
      <c r="J185" s="30">
        <f t="shared" si="45"/>
        <v>0</v>
      </c>
      <c r="K185" s="30">
        <f t="shared" si="46"/>
        <v>0</v>
      </c>
      <c r="L185" s="30">
        <f t="shared" si="47"/>
        <v>0</v>
      </c>
      <c r="M185" s="31">
        <f t="shared" si="48"/>
        <v>0</v>
      </c>
      <c r="N185" s="18" t="str">
        <f t="shared" si="49"/>
        <v/>
      </c>
      <c r="O185" s="52" t="str">
        <f>IF(N185="","",IF(O184="",1,LARGE($O$112:O184,1)+1))</f>
        <v/>
      </c>
      <c r="Q185" s="53" t="str">
        <f>IFERROR(IF($N185="","",IF($N185=Q$111,LARGE(Q$112:Q184,1)+1,"")),1)</f>
        <v/>
      </c>
      <c r="R185" s="53" t="str">
        <f>IFERROR(IF($N185="","",IF($N185=R$111,LARGE(R$112:R184,1)+1,"")),1)</f>
        <v/>
      </c>
      <c r="S185" s="53" t="str">
        <f>IFERROR(IF($N185="","",IF($N185=S$111,LARGE(S$112:S184,1)+1,"")),1)</f>
        <v/>
      </c>
      <c r="T185" s="53" t="str">
        <f>IFERROR(IF($N185="","",IF($N185=T$111,LARGE(T$112:T184,1)+1,"")),1)</f>
        <v/>
      </c>
      <c r="U185" s="53" t="str">
        <f>IFERROR(IF($N185="","",IF($N185=U$111,LARGE(U$112:U184,1)+1,"")),1)</f>
        <v/>
      </c>
    </row>
    <row r="186" spans="1:21" hidden="1">
      <c r="A186" s="18" t="str">
        <f t="shared" si="38"/>
        <v/>
      </c>
      <c r="B186" s="29">
        <f t="shared" si="39"/>
        <v>0</v>
      </c>
      <c r="C186" s="30">
        <f t="shared" si="40"/>
        <v>0</v>
      </c>
      <c r="D186" s="30">
        <f t="shared" si="41"/>
        <v>0</v>
      </c>
      <c r="E186" s="30">
        <f t="shared" si="42"/>
        <v>0</v>
      </c>
      <c r="F186" s="30">
        <f t="shared" si="43"/>
        <v>0</v>
      </c>
      <c r="G186" s="31" t="str">
        <f t="shared" si="37"/>
        <v/>
      </c>
      <c r="I186" s="29">
        <f t="shared" si="44"/>
        <v>0</v>
      </c>
      <c r="J186" s="30">
        <f t="shared" si="45"/>
        <v>0</v>
      </c>
      <c r="K186" s="30">
        <f t="shared" si="46"/>
        <v>0</v>
      </c>
      <c r="L186" s="30">
        <f t="shared" si="47"/>
        <v>0</v>
      </c>
      <c r="M186" s="31">
        <f t="shared" si="48"/>
        <v>0</v>
      </c>
      <c r="N186" s="18" t="str">
        <f t="shared" si="49"/>
        <v/>
      </c>
      <c r="O186" s="52" t="str">
        <f>IF(N186="","",IF(O185="",1,LARGE($O$112:O185,1)+1))</f>
        <v/>
      </c>
      <c r="Q186" s="53" t="str">
        <f>IFERROR(IF($N186="","",IF($N186=Q$111,LARGE(Q$112:Q185,1)+1,"")),1)</f>
        <v/>
      </c>
      <c r="R186" s="53" t="str">
        <f>IFERROR(IF($N186="","",IF($N186=R$111,LARGE(R$112:R185,1)+1,"")),1)</f>
        <v/>
      </c>
      <c r="S186" s="53" t="str">
        <f>IFERROR(IF($N186="","",IF($N186=S$111,LARGE(S$112:S185,1)+1,"")),1)</f>
        <v/>
      </c>
      <c r="T186" s="53" t="str">
        <f>IFERROR(IF($N186="","",IF($N186=T$111,LARGE(T$112:T185,1)+1,"")),1)</f>
        <v/>
      </c>
      <c r="U186" s="53" t="str">
        <f>IFERROR(IF($N186="","",IF($N186=U$111,LARGE(U$112:U185,1)+1,"")),1)</f>
        <v/>
      </c>
    </row>
    <row r="187" spans="1:21" hidden="1">
      <c r="A187" s="18" t="str">
        <f t="shared" si="38"/>
        <v/>
      </c>
      <c r="B187" s="29">
        <f t="shared" si="39"/>
        <v>0</v>
      </c>
      <c r="C187" s="30">
        <f t="shared" si="40"/>
        <v>0</v>
      </c>
      <c r="D187" s="30">
        <f t="shared" si="41"/>
        <v>0</v>
      </c>
      <c r="E187" s="30">
        <f t="shared" si="42"/>
        <v>0</v>
      </c>
      <c r="F187" s="30">
        <f t="shared" si="43"/>
        <v>0</v>
      </c>
      <c r="G187" s="31" t="str">
        <f t="shared" si="37"/>
        <v/>
      </c>
      <c r="I187" s="29">
        <f t="shared" si="44"/>
        <v>0</v>
      </c>
      <c r="J187" s="30">
        <f t="shared" si="45"/>
        <v>0</v>
      </c>
      <c r="K187" s="30">
        <f t="shared" si="46"/>
        <v>0</v>
      </c>
      <c r="L187" s="30">
        <f t="shared" si="47"/>
        <v>0</v>
      </c>
      <c r="M187" s="31">
        <f t="shared" si="48"/>
        <v>0</v>
      </c>
      <c r="N187" s="18" t="str">
        <f t="shared" si="49"/>
        <v/>
      </c>
      <c r="O187" s="52" t="str">
        <f>IF(N187="","",IF(O186="",1,LARGE($O$112:O186,1)+1))</f>
        <v/>
      </c>
      <c r="Q187" s="53" t="str">
        <f>IFERROR(IF($N187="","",IF($N187=Q$111,LARGE(Q$112:Q186,1)+1,"")),1)</f>
        <v/>
      </c>
      <c r="R187" s="53" t="str">
        <f>IFERROR(IF($N187="","",IF($N187=R$111,LARGE(R$112:R186,1)+1,"")),1)</f>
        <v/>
      </c>
      <c r="S187" s="53" t="str">
        <f>IFERROR(IF($N187="","",IF($N187=S$111,LARGE(S$112:S186,1)+1,"")),1)</f>
        <v/>
      </c>
      <c r="T187" s="53" t="str">
        <f>IFERROR(IF($N187="","",IF($N187=T$111,LARGE(T$112:T186,1)+1,"")),1)</f>
        <v/>
      </c>
      <c r="U187" s="53" t="str">
        <f>IFERROR(IF($N187="","",IF($N187=U$111,LARGE(U$112:U186,1)+1,"")),1)</f>
        <v/>
      </c>
    </row>
    <row r="188" spans="1:21" hidden="1">
      <c r="A188" s="18" t="str">
        <f t="shared" si="38"/>
        <v/>
      </c>
      <c r="B188" s="29">
        <f t="shared" si="39"/>
        <v>0</v>
      </c>
      <c r="C188" s="30">
        <f t="shared" si="40"/>
        <v>0</v>
      </c>
      <c r="D188" s="30">
        <f t="shared" si="41"/>
        <v>0</v>
      </c>
      <c r="E188" s="30">
        <f t="shared" si="42"/>
        <v>0</v>
      </c>
      <c r="F188" s="30">
        <f t="shared" si="43"/>
        <v>0</v>
      </c>
      <c r="G188" s="31" t="str">
        <f t="shared" si="37"/>
        <v/>
      </c>
      <c r="I188" s="29">
        <f t="shared" si="44"/>
        <v>0</v>
      </c>
      <c r="J188" s="30">
        <f t="shared" si="45"/>
        <v>0</v>
      </c>
      <c r="K188" s="30">
        <f t="shared" si="46"/>
        <v>0</v>
      </c>
      <c r="L188" s="30">
        <f t="shared" si="47"/>
        <v>0</v>
      </c>
      <c r="M188" s="31">
        <f t="shared" si="48"/>
        <v>0</v>
      </c>
      <c r="N188" s="18" t="str">
        <f t="shared" si="49"/>
        <v/>
      </c>
      <c r="O188" s="52" t="str">
        <f>IF(N188="","",IF(O187="",1,LARGE($O$112:O187,1)+1))</f>
        <v/>
      </c>
      <c r="Q188" s="53" t="str">
        <f>IFERROR(IF($N188="","",IF($N188=Q$111,LARGE(Q$112:Q187,1)+1,"")),1)</f>
        <v/>
      </c>
      <c r="R188" s="53" t="str">
        <f>IFERROR(IF($N188="","",IF($N188=R$111,LARGE(R$112:R187,1)+1,"")),1)</f>
        <v/>
      </c>
      <c r="S188" s="53" t="str">
        <f>IFERROR(IF($N188="","",IF($N188=S$111,LARGE(S$112:S187,1)+1,"")),1)</f>
        <v/>
      </c>
      <c r="T188" s="53" t="str">
        <f>IFERROR(IF($N188="","",IF($N188=T$111,LARGE(T$112:T187,1)+1,"")),1)</f>
        <v/>
      </c>
      <c r="U188" s="53" t="str">
        <f>IFERROR(IF($N188="","",IF($N188=U$111,LARGE(U$112:U187,1)+1,"")),1)</f>
        <v/>
      </c>
    </row>
    <row r="189" spans="1:21" hidden="1">
      <c r="A189" s="18" t="str">
        <f t="shared" si="38"/>
        <v/>
      </c>
      <c r="B189" s="29">
        <f t="shared" si="39"/>
        <v>0</v>
      </c>
      <c r="C189" s="30">
        <f t="shared" si="40"/>
        <v>0</v>
      </c>
      <c r="D189" s="30">
        <f t="shared" si="41"/>
        <v>0</v>
      </c>
      <c r="E189" s="30">
        <f t="shared" si="42"/>
        <v>0</v>
      </c>
      <c r="F189" s="30">
        <f t="shared" si="43"/>
        <v>0</v>
      </c>
      <c r="G189" s="31" t="str">
        <f t="shared" si="37"/>
        <v/>
      </c>
      <c r="I189" s="29">
        <f t="shared" si="44"/>
        <v>0</v>
      </c>
      <c r="J189" s="30">
        <f t="shared" si="45"/>
        <v>0</v>
      </c>
      <c r="K189" s="30">
        <f t="shared" si="46"/>
        <v>0</v>
      </c>
      <c r="L189" s="30">
        <f t="shared" si="47"/>
        <v>0</v>
      </c>
      <c r="M189" s="31">
        <f t="shared" si="48"/>
        <v>0</v>
      </c>
      <c r="N189" s="18" t="str">
        <f t="shared" si="49"/>
        <v/>
      </c>
      <c r="O189" s="52" t="str">
        <f>IF(N189="","",IF(O188="",1,LARGE($O$112:O188,1)+1))</f>
        <v/>
      </c>
      <c r="Q189" s="53" t="str">
        <f>IFERROR(IF($N189="","",IF($N189=Q$111,LARGE(Q$112:Q188,1)+1,"")),1)</f>
        <v/>
      </c>
      <c r="R189" s="53" t="str">
        <f>IFERROR(IF($N189="","",IF($N189=R$111,LARGE(R$112:R188,1)+1,"")),1)</f>
        <v/>
      </c>
      <c r="S189" s="53" t="str">
        <f>IFERROR(IF($N189="","",IF($N189=S$111,LARGE(S$112:S188,1)+1,"")),1)</f>
        <v/>
      </c>
      <c r="T189" s="53" t="str">
        <f>IFERROR(IF($N189="","",IF($N189=T$111,LARGE(T$112:T188,1)+1,"")),1)</f>
        <v/>
      </c>
      <c r="U189" s="53" t="str">
        <f>IFERROR(IF($N189="","",IF($N189=U$111,LARGE(U$112:U188,1)+1,"")),1)</f>
        <v/>
      </c>
    </row>
    <row r="190" spans="1:21" hidden="1">
      <c r="A190" s="18" t="str">
        <f t="shared" si="38"/>
        <v/>
      </c>
      <c r="B190" s="29">
        <f t="shared" si="39"/>
        <v>0</v>
      </c>
      <c r="C190" s="30">
        <f t="shared" si="40"/>
        <v>0</v>
      </c>
      <c r="D190" s="30">
        <f t="shared" si="41"/>
        <v>0</v>
      </c>
      <c r="E190" s="30">
        <f t="shared" si="42"/>
        <v>0</v>
      </c>
      <c r="F190" s="30">
        <f t="shared" si="43"/>
        <v>0</v>
      </c>
      <c r="G190" s="31" t="str">
        <f t="shared" si="37"/>
        <v/>
      </c>
      <c r="I190" s="29">
        <f t="shared" si="44"/>
        <v>0</v>
      </c>
      <c r="J190" s="30">
        <f t="shared" si="45"/>
        <v>0</v>
      </c>
      <c r="K190" s="30">
        <f t="shared" si="46"/>
        <v>0</v>
      </c>
      <c r="L190" s="30">
        <f t="shared" si="47"/>
        <v>0</v>
      </c>
      <c r="M190" s="31">
        <f t="shared" si="48"/>
        <v>0</v>
      </c>
      <c r="N190" s="18" t="str">
        <f t="shared" si="49"/>
        <v/>
      </c>
      <c r="O190" s="52" t="str">
        <f>IF(N190="","",IF(O189="",1,LARGE($O$112:O189,1)+1))</f>
        <v/>
      </c>
      <c r="Q190" s="53" t="str">
        <f>IFERROR(IF($N190="","",IF($N190=Q$111,LARGE(Q$112:Q189,1)+1,"")),1)</f>
        <v/>
      </c>
      <c r="R190" s="53" t="str">
        <f>IFERROR(IF($N190="","",IF($N190=R$111,LARGE(R$112:R189,1)+1,"")),1)</f>
        <v/>
      </c>
      <c r="S190" s="53" t="str">
        <f>IFERROR(IF($N190="","",IF($N190=S$111,LARGE(S$112:S189,1)+1,"")),1)</f>
        <v/>
      </c>
      <c r="T190" s="53" t="str">
        <f>IFERROR(IF($N190="","",IF($N190=T$111,LARGE(T$112:T189,1)+1,"")),1)</f>
        <v/>
      </c>
      <c r="U190" s="53" t="str">
        <f>IFERROR(IF($N190="","",IF($N190=U$111,LARGE(U$112:U189,1)+1,"")),1)</f>
        <v/>
      </c>
    </row>
    <row r="191" spans="1:21" hidden="1">
      <c r="A191" s="18" t="str">
        <f t="shared" si="38"/>
        <v/>
      </c>
      <c r="B191" s="29">
        <f t="shared" si="39"/>
        <v>0</v>
      </c>
      <c r="C191" s="30">
        <f t="shared" si="40"/>
        <v>0</v>
      </c>
      <c r="D191" s="30">
        <f t="shared" si="41"/>
        <v>0</v>
      </c>
      <c r="E191" s="30">
        <f t="shared" si="42"/>
        <v>0</v>
      </c>
      <c r="F191" s="30">
        <f t="shared" si="43"/>
        <v>0</v>
      </c>
      <c r="G191" s="31" t="str">
        <f t="shared" si="37"/>
        <v/>
      </c>
      <c r="I191" s="29">
        <f t="shared" si="44"/>
        <v>0</v>
      </c>
      <c r="J191" s="30">
        <f t="shared" si="45"/>
        <v>0</v>
      </c>
      <c r="K191" s="30">
        <f t="shared" si="46"/>
        <v>0</v>
      </c>
      <c r="L191" s="30">
        <f t="shared" si="47"/>
        <v>0</v>
      </c>
      <c r="M191" s="31">
        <f t="shared" si="48"/>
        <v>0</v>
      </c>
      <c r="N191" s="18" t="str">
        <f t="shared" si="49"/>
        <v/>
      </c>
      <c r="O191" s="52" t="str">
        <f>IF(N191="","",IF(O190="",1,LARGE($O$112:O190,1)+1))</f>
        <v/>
      </c>
      <c r="Q191" s="53" t="str">
        <f>IFERROR(IF($N191="","",IF($N191=Q$111,LARGE(Q$112:Q190,1)+1,"")),1)</f>
        <v/>
      </c>
      <c r="R191" s="53" t="str">
        <f>IFERROR(IF($N191="","",IF($N191=R$111,LARGE(R$112:R190,1)+1,"")),1)</f>
        <v/>
      </c>
      <c r="S191" s="53" t="str">
        <f>IFERROR(IF($N191="","",IF($N191=S$111,LARGE(S$112:S190,1)+1,"")),1)</f>
        <v/>
      </c>
      <c r="T191" s="53" t="str">
        <f>IFERROR(IF($N191="","",IF($N191=T$111,LARGE(T$112:T190,1)+1,"")),1)</f>
        <v/>
      </c>
      <c r="U191" s="53" t="str">
        <f>IFERROR(IF($N191="","",IF($N191=U$111,LARGE(U$112:U190,1)+1,"")),1)</f>
        <v/>
      </c>
    </row>
    <row r="192" spans="1:21" hidden="1">
      <c r="A192" s="18" t="str">
        <f t="shared" si="38"/>
        <v/>
      </c>
      <c r="B192" s="29">
        <f t="shared" si="39"/>
        <v>0</v>
      </c>
      <c r="C192" s="30">
        <f t="shared" si="40"/>
        <v>0</v>
      </c>
      <c r="D192" s="30">
        <f t="shared" si="41"/>
        <v>0</v>
      </c>
      <c r="E192" s="30">
        <f t="shared" si="42"/>
        <v>0</v>
      </c>
      <c r="F192" s="30">
        <f t="shared" si="43"/>
        <v>0</v>
      </c>
      <c r="G192" s="31" t="str">
        <f t="shared" si="37"/>
        <v/>
      </c>
      <c r="I192" s="29">
        <f t="shared" si="44"/>
        <v>0</v>
      </c>
      <c r="J192" s="30">
        <f t="shared" si="45"/>
        <v>0</v>
      </c>
      <c r="K192" s="30">
        <f t="shared" si="46"/>
        <v>0</v>
      </c>
      <c r="L192" s="30">
        <f t="shared" si="47"/>
        <v>0</v>
      </c>
      <c r="M192" s="31">
        <f t="shared" si="48"/>
        <v>0</v>
      </c>
      <c r="N192" s="18" t="str">
        <f t="shared" si="49"/>
        <v/>
      </c>
      <c r="O192" s="52" t="str">
        <f>IF(N192="","",IF(O191="",1,LARGE($O$112:O191,1)+1))</f>
        <v/>
      </c>
      <c r="Q192" s="53" t="str">
        <f>IFERROR(IF($N192="","",IF($N192=Q$111,LARGE(Q$112:Q191,1)+1,"")),1)</f>
        <v/>
      </c>
      <c r="R192" s="53" t="str">
        <f>IFERROR(IF($N192="","",IF($N192=R$111,LARGE(R$112:R191,1)+1,"")),1)</f>
        <v/>
      </c>
      <c r="S192" s="53" t="str">
        <f>IFERROR(IF($N192="","",IF($N192=S$111,LARGE(S$112:S191,1)+1,"")),1)</f>
        <v/>
      </c>
      <c r="T192" s="53" t="str">
        <f>IFERROR(IF($N192="","",IF($N192=T$111,LARGE(T$112:T191,1)+1,"")),1)</f>
        <v/>
      </c>
      <c r="U192" s="53" t="str">
        <f>IFERROR(IF($N192="","",IF($N192=U$111,LARGE(U$112:U191,1)+1,"")),1)</f>
        <v/>
      </c>
    </row>
    <row r="193" spans="1:21" hidden="1">
      <c r="A193" s="18" t="str">
        <f t="shared" si="38"/>
        <v/>
      </c>
      <c r="B193" s="29">
        <f t="shared" si="39"/>
        <v>0</v>
      </c>
      <c r="C193" s="30">
        <f t="shared" si="40"/>
        <v>0</v>
      </c>
      <c r="D193" s="30">
        <f t="shared" si="41"/>
        <v>0</v>
      </c>
      <c r="E193" s="30">
        <f t="shared" si="42"/>
        <v>0</v>
      </c>
      <c r="F193" s="30">
        <f t="shared" si="43"/>
        <v>0</v>
      </c>
      <c r="G193" s="31" t="str">
        <f t="shared" si="37"/>
        <v/>
      </c>
      <c r="I193" s="29">
        <f t="shared" si="44"/>
        <v>0</v>
      </c>
      <c r="J193" s="30">
        <f t="shared" si="45"/>
        <v>0</v>
      </c>
      <c r="K193" s="30">
        <f t="shared" si="46"/>
        <v>0</v>
      </c>
      <c r="L193" s="30">
        <f t="shared" si="47"/>
        <v>0</v>
      </c>
      <c r="M193" s="31">
        <f t="shared" si="48"/>
        <v>0</v>
      </c>
      <c r="N193" s="18" t="str">
        <f t="shared" si="49"/>
        <v/>
      </c>
      <c r="O193" s="52" t="str">
        <f>IF(N193="","",IF(O192="",1,LARGE($O$112:O192,1)+1))</f>
        <v/>
      </c>
      <c r="Q193" s="53" t="str">
        <f>IFERROR(IF($N193="","",IF($N193=Q$111,LARGE(Q$112:Q192,1)+1,"")),1)</f>
        <v/>
      </c>
      <c r="R193" s="53" t="str">
        <f>IFERROR(IF($N193="","",IF($N193=R$111,LARGE(R$112:R192,1)+1,"")),1)</f>
        <v/>
      </c>
      <c r="S193" s="53" t="str">
        <f>IFERROR(IF($N193="","",IF($N193=S$111,LARGE(S$112:S192,1)+1,"")),1)</f>
        <v/>
      </c>
      <c r="T193" s="53" t="str">
        <f>IFERROR(IF($N193="","",IF($N193=T$111,LARGE(T$112:T192,1)+1,"")),1)</f>
        <v/>
      </c>
      <c r="U193" s="53" t="str">
        <f>IFERROR(IF($N193="","",IF($N193=U$111,LARGE(U$112:U192,1)+1,"")),1)</f>
        <v/>
      </c>
    </row>
    <row r="194" spans="1:21" hidden="1">
      <c r="A194" s="18" t="str">
        <f t="shared" si="38"/>
        <v/>
      </c>
      <c r="B194" s="29">
        <f t="shared" si="39"/>
        <v>0</v>
      </c>
      <c r="C194" s="30">
        <f t="shared" si="40"/>
        <v>0</v>
      </c>
      <c r="D194" s="30">
        <f t="shared" si="41"/>
        <v>0</v>
      </c>
      <c r="E194" s="30">
        <f t="shared" si="42"/>
        <v>0</v>
      </c>
      <c r="F194" s="30">
        <f t="shared" si="43"/>
        <v>0</v>
      </c>
      <c r="G194" s="31" t="str">
        <f>IF(SUM(B194:F194)=0,"",INDEX($B$110:$F$110,MATCH(Q89,B194:F194,0)))</f>
        <v/>
      </c>
      <c r="I194" s="29">
        <f t="shared" si="44"/>
        <v>0</v>
      </c>
      <c r="J194" s="30">
        <f t="shared" si="45"/>
        <v>0</v>
      </c>
      <c r="K194" s="30">
        <f t="shared" si="46"/>
        <v>0</v>
      </c>
      <c r="L194" s="30">
        <f t="shared" si="47"/>
        <v>0</v>
      </c>
      <c r="M194" s="31">
        <f t="shared" si="48"/>
        <v>0</v>
      </c>
      <c r="N194" s="18" t="str">
        <f t="shared" si="49"/>
        <v/>
      </c>
      <c r="O194" s="52" t="str">
        <f>IF(N194="","",IF(O193="",1,LARGE($O$112:O193,1)+1))</f>
        <v/>
      </c>
      <c r="Q194" s="53" t="str">
        <f>IFERROR(IF($N194="","",IF($N194=Q$111,LARGE(Q$112:Q193,1)+1,"")),1)</f>
        <v/>
      </c>
      <c r="R194" s="53" t="str">
        <f>IFERROR(IF($N194="","",IF($N194=R$111,LARGE(R$112:R193,1)+1,"")),1)</f>
        <v/>
      </c>
      <c r="S194" s="53" t="str">
        <f>IFERROR(IF($N194="","",IF($N194=S$111,LARGE(S$112:S193,1)+1,"")),1)</f>
        <v/>
      </c>
      <c r="T194" s="53" t="str">
        <f>IFERROR(IF($N194="","",IF($N194=T$111,LARGE(T$112:T193,1)+1,"")),1)</f>
        <v/>
      </c>
      <c r="U194" s="53" t="str">
        <f>IFERROR(IF($N194="","",IF($N194=U$111,LARGE(U$112:U193,1)+1,"")),1)</f>
        <v/>
      </c>
    </row>
    <row r="195" spans="1:21" hidden="1">
      <c r="A195" s="18" t="str">
        <f t="shared" si="38"/>
        <v/>
      </c>
      <c r="B195" s="29">
        <f t="shared" si="39"/>
        <v>0</v>
      </c>
      <c r="C195" s="30">
        <f t="shared" si="40"/>
        <v>0</v>
      </c>
      <c r="D195" s="30">
        <f t="shared" si="41"/>
        <v>0</v>
      </c>
      <c r="E195" s="30">
        <f t="shared" si="42"/>
        <v>0</v>
      </c>
      <c r="F195" s="30">
        <f t="shared" si="43"/>
        <v>0</v>
      </c>
      <c r="G195" s="31" t="str">
        <f t="shared" si="37"/>
        <v/>
      </c>
      <c r="I195" s="29">
        <f t="shared" si="44"/>
        <v>0</v>
      </c>
      <c r="J195" s="30">
        <f t="shared" si="45"/>
        <v>0</v>
      </c>
      <c r="K195" s="30">
        <f t="shared" si="46"/>
        <v>0</v>
      </c>
      <c r="L195" s="30">
        <f t="shared" si="47"/>
        <v>0</v>
      </c>
      <c r="M195" s="31">
        <f t="shared" si="48"/>
        <v>0</v>
      </c>
      <c r="N195" s="18" t="str">
        <f t="shared" si="49"/>
        <v/>
      </c>
      <c r="O195" s="52" t="str">
        <f>IF(N195="","",IF(O194="",1,LARGE($O$112:O194,1)+1))</f>
        <v/>
      </c>
      <c r="Q195" s="53" t="str">
        <f>IFERROR(IF($N195="","",IF($N195=Q$111,LARGE(Q$112:Q194,1)+1,"")),1)</f>
        <v/>
      </c>
      <c r="R195" s="53" t="str">
        <f>IFERROR(IF($N195="","",IF($N195=R$111,LARGE(R$112:R194,1)+1,"")),1)</f>
        <v/>
      </c>
      <c r="S195" s="53" t="str">
        <f>IFERROR(IF($N195="","",IF($N195=S$111,LARGE(S$112:S194,1)+1,"")),1)</f>
        <v/>
      </c>
      <c r="T195" s="53" t="str">
        <f>IFERROR(IF($N195="","",IF($N195=T$111,LARGE(T$112:T194,1)+1,"")),1)</f>
        <v/>
      </c>
      <c r="U195" s="53" t="str">
        <f>IFERROR(IF($N195="","",IF($N195=U$111,LARGE(U$112:U194,1)+1,"")),1)</f>
        <v/>
      </c>
    </row>
    <row r="196" spans="1:21" hidden="1">
      <c r="A196" s="18" t="str">
        <f t="shared" si="38"/>
        <v/>
      </c>
      <c r="B196" s="29">
        <f t="shared" si="39"/>
        <v>0</v>
      </c>
      <c r="C196" s="30">
        <f t="shared" si="40"/>
        <v>0</v>
      </c>
      <c r="D196" s="30">
        <f t="shared" si="41"/>
        <v>0</v>
      </c>
      <c r="E196" s="30">
        <f t="shared" si="42"/>
        <v>0</v>
      </c>
      <c r="F196" s="30">
        <f t="shared" si="43"/>
        <v>0</v>
      </c>
      <c r="G196" s="31" t="str">
        <f t="shared" si="37"/>
        <v/>
      </c>
      <c r="I196" s="29">
        <f t="shared" si="44"/>
        <v>0</v>
      </c>
      <c r="J196" s="30">
        <f t="shared" si="45"/>
        <v>0</v>
      </c>
      <c r="K196" s="30">
        <f t="shared" si="46"/>
        <v>0</v>
      </c>
      <c r="L196" s="30">
        <f t="shared" si="47"/>
        <v>0</v>
      </c>
      <c r="M196" s="31">
        <f t="shared" si="48"/>
        <v>0</v>
      </c>
      <c r="N196" s="18" t="str">
        <f t="shared" si="49"/>
        <v/>
      </c>
      <c r="O196" s="52" t="str">
        <f>IF(N196="","",IF(O195="",1,LARGE($O$112:O195,1)+1))</f>
        <v/>
      </c>
      <c r="Q196" s="53" t="str">
        <f>IFERROR(IF($N196="","",IF($N196=Q$111,LARGE(Q$112:Q195,1)+1,"")),1)</f>
        <v/>
      </c>
      <c r="R196" s="53" t="str">
        <f>IFERROR(IF($N196="","",IF($N196=R$111,LARGE(R$112:R195,1)+1,"")),1)</f>
        <v/>
      </c>
      <c r="S196" s="53" t="str">
        <f>IFERROR(IF($N196="","",IF($N196=S$111,LARGE(S$112:S195,1)+1,"")),1)</f>
        <v/>
      </c>
      <c r="T196" s="53" t="str">
        <f>IFERROR(IF($N196="","",IF($N196=T$111,LARGE(T$112:T195,1)+1,"")),1)</f>
        <v/>
      </c>
      <c r="U196" s="53" t="str">
        <f>IFERROR(IF($N196="","",IF($N196=U$111,LARGE(U$112:U195,1)+1,"")),1)</f>
        <v/>
      </c>
    </row>
    <row r="197" spans="1:21" hidden="1">
      <c r="A197" s="18" t="str">
        <f t="shared" si="38"/>
        <v/>
      </c>
      <c r="B197" s="29">
        <f t="shared" si="39"/>
        <v>0</v>
      </c>
      <c r="C197" s="30">
        <f t="shared" si="40"/>
        <v>0</v>
      </c>
      <c r="D197" s="30">
        <f t="shared" si="41"/>
        <v>0</v>
      </c>
      <c r="E197" s="30">
        <f t="shared" si="42"/>
        <v>0</v>
      </c>
      <c r="F197" s="30">
        <f t="shared" si="43"/>
        <v>0</v>
      </c>
      <c r="G197" s="31" t="str">
        <f t="shared" si="37"/>
        <v/>
      </c>
      <c r="I197" s="29">
        <f t="shared" si="44"/>
        <v>0</v>
      </c>
      <c r="J197" s="30">
        <f t="shared" si="45"/>
        <v>0</v>
      </c>
      <c r="K197" s="30">
        <f t="shared" si="46"/>
        <v>0</v>
      </c>
      <c r="L197" s="30">
        <f t="shared" si="47"/>
        <v>0</v>
      </c>
      <c r="M197" s="31">
        <f t="shared" si="48"/>
        <v>0</v>
      </c>
      <c r="N197" s="18" t="str">
        <f t="shared" si="49"/>
        <v/>
      </c>
      <c r="O197" s="52" t="str">
        <f>IF(N197="","",IF(O196="",1,LARGE($O$112:O196,1)+1))</f>
        <v/>
      </c>
      <c r="Q197" s="53" t="str">
        <f>IFERROR(IF($N197="","",IF($N197=Q$111,LARGE(Q$112:Q196,1)+1,"")),1)</f>
        <v/>
      </c>
      <c r="R197" s="53" t="str">
        <f>IFERROR(IF($N197="","",IF($N197=R$111,LARGE(R$112:R196,1)+1,"")),1)</f>
        <v/>
      </c>
      <c r="S197" s="53" t="str">
        <f>IFERROR(IF($N197="","",IF($N197=S$111,LARGE(S$112:S196,1)+1,"")),1)</f>
        <v/>
      </c>
      <c r="T197" s="53" t="str">
        <f>IFERROR(IF($N197="","",IF($N197=T$111,LARGE(T$112:T196,1)+1,"")),1)</f>
        <v/>
      </c>
      <c r="U197" s="53" t="str">
        <f>IFERROR(IF($N197="","",IF($N197=U$111,LARGE(U$112:U196,1)+1,"")),1)</f>
        <v/>
      </c>
    </row>
    <row r="198" spans="1:21" hidden="1">
      <c r="A198" s="18" t="str">
        <f t="shared" si="38"/>
        <v/>
      </c>
      <c r="B198" s="29">
        <f t="shared" si="39"/>
        <v>0</v>
      </c>
      <c r="C198" s="30">
        <f t="shared" si="40"/>
        <v>0</v>
      </c>
      <c r="D198" s="30">
        <f t="shared" si="41"/>
        <v>0</v>
      </c>
      <c r="E198" s="30">
        <f t="shared" si="42"/>
        <v>0</v>
      </c>
      <c r="F198" s="30">
        <f t="shared" si="43"/>
        <v>0</v>
      </c>
      <c r="G198" s="31" t="str">
        <f t="shared" si="37"/>
        <v/>
      </c>
      <c r="I198" s="29">
        <f t="shared" si="44"/>
        <v>0</v>
      </c>
      <c r="J198" s="30">
        <f t="shared" si="45"/>
        <v>0</v>
      </c>
      <c r="K198" s="30">
        <f t="shared" si="46"/>
        <v>0</v>
      </c>
      <c r="L198" s="30">
        <f t="shared" si="47"/>
        <v>0</v>
      </c>
      <c r="M198" s="31">
        <f t="shared" si="48"/>
        <v>0</v>
      </c>
      <c r="N198" s="18" t="str">
        <f t="shared" si="49"/>
        <v/>
      </c>
      <c r="O198" s="52" t="str">
        <f>IF(N198="","",IF(O197="",1,LARGE($O$112:O197,1)+1))</f>
        <v/>
      </c>
      <c r="Q198" s="53" t="str">
        <f>IFERROR(IF($N198="","",IF($N198=Q$111,LARGE(Q$112:Q197,1)+1,"")),1)</f>
        <v/>
      </c>
      <c r="R198" s="53" t="str">
        <f>IFERROR(IF($N198="","",IF($N198=R$111,LARGE(R$112:R197,1)+1,"")),1)</f>
        <v/>
      </c>
      <c r="S198" s="53" t="str">
        <f>IFERROR(IF($N198="","",IF($N198=S$111,LARGE(S$112:S197,1)+1,"")),1)</f>
        <v/>
      </c>
      <c r="T198" s="53" t="str">
        <f>IFERROR(IF($N198="","",IF($N198=T$111,LARGE(T$112:T197,1)+1,"")),1)</f>
        <v/>
      </c>
      <c r="U198" s="53" t="str">
        <f>IFERROR(IF($N198="","",IF($N198=U$111,LARGE(U$112:U197,1)+1,"")),1)</f>
        <v/>
      </c>
    </row>
    <row r="199" spans="1:21" hidden="1">
      <c r="A199" s="18" t="str">
        <f t="shared" si="38"/>
        <v/>
      </c>
      <c r="B199" s="29">
        <f t="shared" si="39"/>
        <v>0</v>
      </c>
      <c r="C199" s="30">
        <f t="shared" si="40"/>
        <v>0</v>
      </c>
      <c r="D199" s="30">
        <f t="shared" si="41"/>
        <v>0</v>
      </c>
      <c r="E199" s="30">
        <f t="shared" si="42"/>
        <v>0</v>
      </c>
      <c r="F199" s="30">
        <f t="shared" si="43"/>
        <v>0</v>
      </c>
      <c r="G199" s="31" t="str">
        <f t="shared" si="37"/>
        <v/>
      </c>
      <c r="I199" s="29">
        <f t="shared" si="44"/>
        <v>0</v>
      </c>
      <c r="J199" s="30">
        <f t="shared" si="45"/>
        <v>0</v>
      </c>
      <c r="K199" s="30">
        <f t="shared" si="46"/>
        <v>0</v>
      </c>
      <c r="L199" s="30">
        <f t="shared" si="47"/>
        <v>0</v>
      </c>
      <c r="M199" s="31">
        <f t="shared" si="48"/>
        <v>0</v>
      </c>
      <c r="N199" s="18" t="str">
        <f t="shared" si="49"/>
        <v/>
      </c>
      <c r="O199" s="52" t="str">
        <f>IF(N199="","",IF(O198="",1,LARGE($O$112:O198,1)+1))</f>
        <v/>
      </c>
      <c r="Q199" s="53" t="str">
        <f>IFERROR(IF($N199="","",IF($N199=Q$111,LARGE(Q$112:Q198,1)+1,"")),1)</f>
        <v/>
      </c>
      <c r="R199" s="53" t="str">
        <f>IFERROR(IF($N199="","",IF($N199=R$111,LARGE(R$112:R198,1)+1,"")),1)</f>
        <v/>
      </c>
      <c r="S199" s="53" t="str">
        <f>IFERROR(IF($N199="","",IF($N199=S$111,LARGE(S$112:S198,1)+1,"")),1)</f>
        <v/>
      </c>
      <c r="T199" s="53" t="str">
        <f>IFERROR(IF($N199="","",IF($N199=T$111,LARGE(T$112:T198,1)+1,"")),1)</f>
        <v/>
      </c>
      <c r="U199" s="53" t="str">
        <f>IFERROR(IF($N199="","",IF($N199=U$111,LARGE(U$112:U198,1)+1,"")),1)</f>
        <v/>
      </c>
    </row>
    <row r="200" spans="1:21" hidden="1">
      <c r="A200" s="18" t="str">
        <f t="shared" si="38"/>
        <v/>
      </c>
      <c r="B200" s="29">
        <f t="shared" si="39"/>
        <v>0</v>
      </c>
      <c r="C200" s="30">
        <f t="shared" si="40"/>
        <v>0</v>
      </c>
      <c r="D200" s="30">
        <f t="shared" si="41"/>
        <v>0</v>
      </c>
      <c r="E200" s="30">
        <f t="shared" si="42"/>
        <v>0</v>
      </c>
      <c r="F200" s="30">
        <f t="shared" si="43"/>
        <v>0</v>
      </c>
      <c r="G200" s="31" t="str">
        <f t="shared" si="37"/>
        <v/>
      </c>
      <c r="I200" s="29">
        <f t="shared" si="44"/>
        <v>0</v>
      </c>
      <c r="J200" s="30">
        <f t="shared" si="45"/>
        <v>0</v>
      </c>
      <c r="K200" s="30">
        <f t="shared" si="46"/>
        <v>0</v>
      </c>
      <c r="L200" s="30">
        <f t="shared" si="47"/>
        <v>0</v>
      </c>
      <c r="M200" s="31">
        <f t="shared" si="48"/>
        <v>0</v>
      </c>
      <c r="N200" s="18" t="str">
        <f t="shared" si="49"/>
        <v/>
      </c>
      <c r="O200" s="52" t="str">
        <f>IF(N200="","",IF(O199="",1,LARGE($O$112:O199,1)+1))</f>
        <v/>
      </c>
      <c r="Q200" s="53" t="str">
        <f>IFERROR(IF($N200="","",IF($N200=Q$111,LARGE(Q$112:Q199,1)+1,"")),1)</f>
        <v/>
      </c>
      <c r="R200" s="53" t="str">
        <f>IFERROR(IF($N200="","",IF($N200=R$111,LARGE(R$112:R199,1)+1,"")),1)</f>
        <v/>
      </c>
      <c r="S200" s="53" t="str">
        <f>IFERROR(IF($N200="","",IF($N200=S$111,LARGE(S$112:S199,1)+1,"")),1)</f>
        <v/>
      </c>
      <c r="T200" s="53" t="str">
        <f>IFERROR(IF($N200="","",IF($N200=T$111,LARGE(T$112:T199,1)+1,"")),1)</f>
        <v/>
      </c>
      <c r="U200" s="53" t="str">
        <f>IFERROR(IF($N200="","",IF($N200=U$111,LARGE(U$112:U199,1)+1,"")),1)</f>
        <v/>
      </c>
    </row>
    <row r="201" spans="1:21" hidden="1">
      <c r="A201" s="18" t="str">
        <f t="shared" si="38"/>
        <v/>
      </c>
      <c r="B201" s="29">
        <f t="shared" si="39"/>
        <v>0</v>
      </c>
      <c r="C201" s="30">
        <f t="shared" si="40"/>
        <v>0</v>
      </c>
      <c r="D201" s="30">
        <f t="shared" si="41"/>
        <v>0</v>
      </c>
      <c r="E201" s="30">
        <f t="shared" si="42"/>
        <v>0</v>
      </c>
      <c r="F201" s="30">
        <f t="shared" si="43"/>
        <v>0</v>
      </c>
      <c r="G201" s="31" t="str">
        <f t="shared" si="37"/>
        <v/>
      </c>
      <c r="I201" s="29">
        <f t="shared" si="44"/>
        <v>0</v>
      </c>
      <c r="J201" s="30">
        <f t="shared" si="45"/>
        <v>0</v>
      </c>
      <c r="K201" s="30">
        <f t="shared" si="46"/>
        <v>0</v>
      </c>
      <c r="L201" s="30">
        <f t="shared" si="47"/>
        <v>0</v>
      </c>
      <c r="M201" s="31">
        <f t="shared" si="48"/>
        <v>0</v>
      </c>
      <c r="N201" s="18" t="str">
        <f>IF(SUM(I201:M201)=0,"",INDEX($I$110:$M$110,MATCH(O96,I201:M201,0)))</f>
        <v/>
      </c>
      <c r="O201" s="52" t="str">
        <f>IF(N201="","",IF(O200="",1,LARGE($O$112:O200,1)+1))</f>
        <v/>
      </c>
      <c r="Q201" s="53" t="str">
        <f>IFERROR(IF($N201="","",IF($N201=Q$111,LARGE(Q$112:Q200,1)+1,"")),1)</f>
        <v/>
      </c>
      <c r="R201" s="53" t="str">
        <f>IFERROR(IF($N201="","",IF($N201=R$111,LARGE(R$112:R200,1)+1,"")),1)</f>
        <v/>
      </c>
      <c r="S201" s="53" t="str">
        <f>IFERROR(IF($N201="","",IF($N201=S$111,LARGE(S$112:S200,1)+1,"")),1)</f>
        <v/>
      </c>
      <c r="T201" s="53" t="str">
        <f>IFERROR(IF($N201="","",IF($N201=T$111,LARGE(T$112:T200,1)+1,"")),1)</f>
        <v/>
      </c>
      <c r="U201" s="53" t="str">
        <f>IFERROR(IF($N201="","",IF($N201=U$111,LARGE(U$112:U200,1)+1,"")),1)</f>
        <v/>
      </c>
    </row>
    <row r="202" spans="1:21" hidden="1">
      <c r="A202" s="18" t="str">
        <f t="shared" si="38"/>
        <v/>
      </c>
      <c r="B202" s="29">
        <f t="shared" si="39"/>
        <v>0</v>
      </c>
      <c r="C202" s="30">
        <f t="shared" si="40"/>
        <v>0</v>
      </c>
      <c r="D202" s="30">
        <f t="shared" si="41"/>
        <v>0</v>
      </c>
      <c r="E202" s="30">
        <f t="shared" si="42"/>
        <v>0</v>
      </c>
      <c r="F202" s="30">
        <f t="shared" si="43"/>
        <v>0</v>
      </c>
      <c r="G202" s="31" t="str">
        <f t="shared" si="37"/>
        <v/>
      </c>
      <c r="I202" s="29">
        <f t="shared" si="44"/>
        <v>0</v>
      </c>
      <c r="J202" s="30">
        <f t="shared" si="45"/>
        <v>0</v>
      </c>
      <c r="K202" s="30">
        <f t="shared" si="46"/>
        <v>0</v>
      </c>
      <c r="L202" s="30">
        <f t="shared" si="47"/>
        <v>0</v>
      </c>
      <c r="M202" s="31">
        <f t="shared" si="48"/>
        <v>0</v>
      </c>
      <c r="N202" s="18" t="str">
        <f>IF(SUM(I202:M202)=0,"",INDEX($I$110:$M$110,MATCH(O97,I202:M202,0)))</f>
        <v/>
      </c>
      <c r="O202" s="52" t="str">
        <f>IF(N202="","",IF(O201="",1,LARGE($O$112:O201,1)+1))</f>
        <v/>
      </c>
      <c r="Q202" s="53" t="str">
        <f>IFERROR(IF($N202="","",IF($N202=Q$111,LARGE(Q$112:Q201,1)+1,"")),1)</f>
        <v/>
      </c>
      <c r="R202" s="53" t="str">
        <f>IFERROR(IF($N202="","",IF($N202=R$111,LARGE(R$112:R201,1)+1,"")),1)</f>
        <v/>
      </c>
      <c r="S202" s="53" t="str">
        <f>IFERROR(IF($N202="","",IF($N202=S$111,LARGE(S$112:S201,1)+1,"")),1)</f>
        <v/>
      </c>
      <c r="T202" s="53" t="str">
        <f>IFERROR(IF($N202="","",IF($N202=T$111,LARGE(T$112:T201,1)+1,"")),1)</f>
        <v/>
      </c>
      <c r="U202" s="53" t="str">
        <f>IFERROR(IF($N202="","",IF($N202=U$111,LARGE(U$112:U201,1)+1,"")),1)</f>
        <v/>
      </c>
    </row>
    <row r="203" spans="1:21" ht="15.75" hidden="1" thickBot="1">
      <c r="A203" s="18" t="str">
        <f t="shared" si="38"/>
        <v/>
      </c>
      <c r="B203" s="32">
        <f t="shared" si="39"/>
        <v>0</v>
      </c>
      <c r="C203" s="33">
        <f t="shared" si="40"/>
        <v>0</v>
      </c>
      <c r="D203" s="33">
        <f t="shared" si="41"/>
        <v>0</v>
      </c>
      <c r="E203" s="33">
        <f t="shared" si="42"/>
        <v>0</v>
      </c>
      <c r="F203" s="33">
        <f t="shared" si="43"/>
        <v>0</v>
      </c>
      <c r="G203" s="34" t="str">
        <f t="shared" si="37"/>
        <v/>
      </c>
      <c r="I203" s="32">
        <f t="shared" si="44"/>
        <v>0</v>
      </c>
      <c r="J203" s="33">
        <f t="shared" si="45"/>
        <v>0</v>
      </c>
      <c r="K203" s="33">
        <f t="shared" si="46"/>
        <v>0</v>
      </c>
      <c r="L203" s="33">
        <f t="shared" si="47"/>
        <v>0</v>
      </c>
      <c r="M203" s="34">
        <f t="shared" si="48"/>
        <v>0</v>
      </c>
      <c r="N203" s="18" t="str">
        <f t="shared" si="49"/>
        <v/>
      </c>
      <c r="O203" s="52" t="str">
        <f>IF(N203="","",IF(O202="",1,LARGE($O$112:O202,1)+1))</f>
        <v/>
      </c>
      <c r="Q203" s="53" t="str">
        <f>IFERROR(IF($N203="","",IF($N203=Q$111,LARGE(Q$112:Q202,1)+1,"")),1)</f>
        <v/>
      </c>
      <c r="R203" s="53" t="str">
        <f>IFERROR(IF($N203="","",IF($N203=R$111,LARGE(R$112:R202,1)+1,"")),1)</f>
        <v/>
      </c>
      <c r="S203" s="53" t="str">
        <f>IFERROR(IF($N203="","",IF($N203=S$111,LARGE(S$112:S202,1)+1,"")),1)</f>
        <v/>
      </c>
      <c r="T203" s="53" t="str">
        <f>IFERROR(IF($N203="","",IF($N203=T$111,LARGE(T$112:T202,1)+1,"")),1)</f>
        <v/>
      </c>
      <c r="U203" s="53" t="str">
        <f>IFERROR(IF($N203="","",IF($N203=U$111,LARGE(U$112:U202,1)+1,"")),1)</f>
        <v/>
      </c>
    </row>
    <row r="204" spans="1:21" hidden="1"/>
    <row r="205" spans="1:21" hidden="1">
      <c r="B205" s="25"/>
      <c r="C205" s="25"/>
      <c r="D205" s="25"/>
      <c r="E205" s="25"/>
      <c r="F205" s="25"/>
      <c r="G205" s="25"/>
    </row>
    <row r="206" spans="1:21" hidden="1">
      <c r="B206" s="25"/>
      <c r="C206" s="25"/>
      <c r="D206" s="25"/>
      <c r="E206" s="25"/>
      <c r="F206" s="25"/>
      <c r="G206" s="25"/>
    </row>
    <row r="207" spans="1:21" hidden="1">
      <c r="B207" s="25"/>
      <c r="C207" s="25"/>
      <c r="D207" s="25"/>
      <c r="E207" s="25"/>
      <c r="F207" s="25"/>
      <c r="G207" s="25"/>
    </row>
    <row r="208" spans="1:21" hidden="1">
      <c r="B208" s="25"/>
      <c r="C208" s="25"/>
      <c r="D208" s="25"/>
      <c r="E208" s="25"/>
      <c r="F208" s="25"/>
      <c r="G208" s="25"/>
    </row>
    <row r="209" spans="1:11" hidden="1">
      <c r="B209" s="25"/>
      <c r="C209" s="25"/>
      <c r="D209" s="25"/>
      <c r="E209" s="25"/>
      <c r="F209" s="25"/>
      <c r="G209" s="25"/>
    </row>
    <row r="210" spans="1:11" ht="15.75" hidden="1" thickBot="1"/>
    <row r="211" spans="1:11" ht="15.75" hidden="1" thickBot="1">
      <c r="A211" s="30"/>
      <c r="B211" s="67" t="str">
        <f>I110</f>
        <v>Empresa 1</v>
      </c>
      <c r="C211" s="107"/>
      <c r="D211" s="68"/>
    </row>
    <row r="212" spans="1:11" hidden="1">
      <c r="A212" s="30"/>
      <c r="B212" s="59" t="s">
        <v>1</v>
      </c>
      <c r="C212" s="59" t="s">
        <v>2</v>
      </c>
      <c r="D212" s="59" t="s">
        <v>8</v>
      </c>
    </row>
    <row r="213" spans="1:11" hidden="1">
      <c r="A213" s="30"/>
      <c r="B213" s="60"/>
      <c r="C213" s="60"/>
      <c r="D213" s="60"/>
    </row>
    <row r="214" spans="1:11" ht="15.75" hidden="1" thickBot="1">
      <c r="A214" s="30"/>
      <c r="B214" s="61"/>
      <c r="C214" s="61"/>
      <c r="D214" s="61"/>
    </row>
    <row r="215" spans="1:11" ht="15.75" hidden="1" thickBot="1">
      <c r="A215" s="30" t="str">
        <f>A7</f>
        <v/>
      </c>
      <c r="B215" s="55" t="str">
        <f>IFERROR(INDEX($B$7:$D$98,MATCH(INDEX($A$112:$A$203,MATCH(SMALL($Q$112:$Q$203,$A215),$Q$112:$Q$203,0)),$A$7:$A$98,0),1),"")</f>
        <v/>
      </c>
      <c r="C215" s="55" t="str">
        <f>IFERROR(INDEX($B$7:$D$98,MATCH(INDEX($A$112:$A$203,MATCH(SMALL($Q$112:$Q$203,$A215),$Q$112:$Q$203,0)),$A$7:$A$98,0),2),"")</f>
        <v/>
      </c>
      <c r="D215" s="55" t="str">
        <f>IFERROR(INDEX($B$7:$D$98,MATCH(INDEX($A$112:$A$203,MATCH(SMALL($Q$112:$Q$203,$A215),$Q$112:$Q$203,0)),$A$7:$A$98,0),3),"")</f>
        <v/>
      </c>
    </row>
    <row r="216" spans="1:11" ht="15.75" hidden="1" thickBot="1">
      <c r="A216" s="30" t="str">
        <f t="shared" ref="A216:A279" si="50">A8</f>
        <v/>
      </c>
      <c r="B216" s="55" t="str">
        <f t="shared" ref="B216:B279" si="51">IFERROR(INDEX($B$7:$D$98,MATCH(INDEX($A$112:$A$203,MATCH(SMALL($Q$112:$Q$203,$A216),$Q$112:$Q$203,0)),$A$7:$A$98,0),1),"")</f>
        <v/>
      </c>
      <c r="C216" s="55" t="str">
        <f t="shared" ref="C216:C279" si="52">IFERROR(INDEX($B$7:$D$98,MATCH(INDEX($A$112:$A$203,MATCH(SMALL($Q$112:$Q$203,$A216),$Q$112:$Q$203,0)),$A$7:$A$98,0),2),"")</f>
        <v/>
      </c>
      <c r="D216" s="55" t="str">
        <f t="shared" ref="D216:D279" si="53">IFERROR(INDEX($B$7:$D$98,MATCH(INDEX($A$112:$A$203,MATCH(SMALL($Q$112:$Q$203,$A216),$Q$112:$Q$203,0)),$A$7:$A$98,0),3),"")</f>
        <v/>
      </c>
      <c r="J216" s="51"/>
      <c r="K216" s="7"/>
    </row>
    <row r="217" spans="1:11" ht="15.75" hidden="1" thickBot="1">
      <c r="A217" s="30" t="str">
        <f t="shared" si="50"/>
        <v/>
      </c>
      <c r="B217" s="55" t="str">
        <f t="shared" si="51"/>
        <v/>
      </c>
      <c r="C217" s="55" t="str">
        <f t="shared" si="52"/>
        <v/>
      </c>
      <c r="D217" s="55" t="str">
        <f t="shared" si="53"/>
        <v/>
      </c>
    </row>
    <row r="218" spans="1:11" ht="15.75" hidden="1" thickBot="1">
      <c r="A218" s="30" t="str">
        <f t="shared" si="50"/>
        <v/>
      </c>
      <c r="B218" s="55" t="str">
        <f t="shared" si="51"/>
        <v/>
      </c>
      <c r="C218" s="55" t="str">
        <f t="shared" si="52"/>
        <v/>
      </c>
      <c r="D218" s="55" t="str">
        <f t="shared" si="53"/>
        <v/>
      </c>
    </row>
    <row r="219" spans="1:11" ht="15.75" hidden="1" thickBot="1">
      <c r="A219" s="30" t="str">
        <f t="shared" si="50"/>
        <v/>
      </c>
      <c r="B219" s="55" t="str">
        <f t="shared" si="51"/>
        <v/>
      </c>
      <c r="C219" s="55" t="str">
        <f t="shared" si="52"/>
        <v/>
      </c>
      <c r="D219" s="55" t="str">
        <f t="shared" si="53"/>
        <v/>
      </c>
    </row>
    <row r="220" spans="1:11" ht="15.75" hidden="1" thickBot="1">
      <c r="A220" s="30" t="str">
        <f t="shared" si="50"/>
        <v/>
      </c>
      <c r="B220" s="55" t="str">
        <f t="shared" si="51"/>
        <v/>
      </c>
      <c r="C220" s="55" t="str">
        <f t="shared" si="52"/>
        <v/>
      </c>
      <c r="D220" s="55" t="str">
        <f t="shared" si="53"/>
        <v/>
      </c>
    </row>
    <row r="221" spans="1:11" ht="15.75" hidden="1" thickBot="1">
      <c r="A221" s="30" t="str">
        <f t="shared" si="50"/>
        <v/>
      </c>
      <c r="B221" s="55" t="str">
        <f t="shared" si="51"/>
        <v/>
      </c>
      <c r="C221" s="55" t="str">
        <f t="shared" si="52"/>
        <v/>
      </c>
      <c r="D221" s="55" t="str">
        <f t="shared" si="53"/>
        <v/>
      </c>
    </row>
    <row r="222" spans="1:11" ht="15.75" hidden="1" thickBot="1">
      <c r="A222" s="30" t="str">
        <f t="shared" si="50"/>
        <v/>
      </c>
      <c r="B222" s="55" t="str">
        <f t="shared" si="51"/>
        <v/>
      </c>
      <c r="C222" s="55" t="str">
        <f t="shared" si="52"/>
        <v/>
      </c>
      <c r="D222" s="55" t="str">
        <f t="shared" si="53"/>
        <v/>
      </c>
    </row>
    <row r="223" spans="1:11" ht="15.75" hidden="1" thickBot="1">
      <c r="A223" s="30" t="str">
        <f t="shared" si="50"/>
        <v/>
      </c>
      <c r="B223" s="55" t="str">
        <f t="shared" si="51"/>
        <v/>
      </c>
      <c r="C223" s="55" t="str">
        <f t="shared" si="52"/>
        <v/>
      </c>
      <c r="D223" s="55" t="str">
        <f t="shared" si="53"/>
        <v/>
      </c>
    </row>
    <row r="224" spans="1:11" ht="15.75" hidden="1" thickBot="1">
      <c r="A224" s="30" t="str">
        <f t="shared" si="50"/>
        <v/>
      </c>
      <c r="B224" s="55" t="str">
        <f t="shared" si="51"/>
        <v/>
      </c>
      <c r="C224" s="55" t="str">
        <f t="shared" si="52"/>
        <v/>
      </c>
      <c r="D224" s="55" t="str">
        <f t="shared" si="53"/>
        <v/>
      </c>
    </row>
    <row r="225" spans="1:4" ht="15.75" hidden="1" thickBot="1">
      <c r="A225" s="30" t="str">
        <f t="shared" si="50"/>
        <v/>
      </c>
      <c r="B225" s="55" t="str">
        <f t="shared" si="51"/>
        <v/>
      </c>
      <c r="C225" s="55" t="str">
        <f t="shared" si="52"/>
        <v/>
      </c>
      <c r="D225" s="55" t="str">
        <f t="shared" si="53"/>
        <v/>
      </c>
    </row>
    <row r="226" spans="1:4" ht="15.75" hidden="1" thickBot="1">
      <c r="A226" s="30" t="str">
        <f t="shared" si="50"/>
        <v/>
      </c>
      <c r="B226" s="55" t="str">
        <f t="shared" si="51"/>
        <v/>
      </c>
      <c r="C226" s="55" t="str">
        <f t="shared" si="52"/>
        <v/>
      </c>
      <c r="D226" s="55" t="str">
        <f t="shared" si="53"/>
        <v/>
      </c>
    </row>
    <row r="227" spans="1:4" ht="15.75" hidden="1" thickBot="1">
      <c r="A227" s="30" t="str">
        <f t="shared" si="50"/>
        <v/>
      </c>
      <c r="B227" s="55" t="str">
        <f t="shared" si="51"/>
        <v/>
      </c>
      <c r="C227" s="55" t="str">
        <f t="shared" si="52"/>
        <v/>
      </c>
      <c r="D227" s="55" t="str">
        <f t="shared" si="53"/>
        <v/>
      </c>
    </row>
    <row r="228" spans="1:4" ht="15.75" hidden="1" thickBot="1">
      <c r="A228" s="30" t="str">
        <f t="shared" si="50"/>
        <v/>
      </c>
      <c r="B228" s="55" t="str">
        <f t="shared" si="51"/>
        <v/>
      </c>
      <c r="C228" s="55" t="str">
        <f t="shared" si="52"/>
        <v/>
      </c>
      <c r="D228" s="55" t="str">
        <f t="shared" si="53"/>
        <v/>
      </c>
    </row>
    <row r="229" spans="1:4" ht="15.75" hidden="1" thickBot="1">
      <c r="A229" s="30" t="str">
        <f t="shared" si="50"/>
        <v/>
      </c>
      <c r="B229" s="55" t="str">
        <f t="shared" si="51"/>
        <v/>
      </c>
      <c r="C229" s="55" t="str">
        <f t="shared" si="52"/>
        <v/>
      </c>
      <c r="D229" s="55" t="str">
        <f t="shared" si="53"/>
        <v/>
      </c>
    </row>
    <row r="230" spans="1:4" ht="15.75" hidden="1" thickBot="1">
      <c r="A230" s="30" t="str">
        <f t="shared" si="50"/>
        <v/>
      </c>
      <c r="B230" s="55" t="str">
        <f t="shared" si="51"/>
        <v/>
      </c>
      <c r="C230" s="55" t="str">
        <f t="shared" si="52"/>
        <v/>
      </c>
      <c r="D230" s="55" t="str">
        <f t="shared" si="53"/>
        <v/>
      </c>
    </row>
    <row r="231" spans="1:4" ht="15.75" hidden="1" thickBot="1">
      <c r="A231" s="30" t="str">
        <f t="shared" si="50"/>
        <v/>
      </c>
      <c r="B231" s="55" t="str">
        <f t="shared" si="51"/>
        <v/>
      </c>
      <c r="C231" s="55" t="str">
        <f t="shared" si="52"/>
        <v/>
      </c>
      <c r="D231" s="55" t="str">
        <f t="shared" si="53"/>
        <v/>
      </c>
    </row>
    <row r="232" spans="1:4" ht="15.75" hidden="1" thickBot="1">
      <c r="A232" s="30" t="str">
        <f t="shared" si="50"/>
        <v/>
      </c>
      <c r="B232" s="55" t="str">
        <f t="shared" si="51"/>
        <v/>
      </c>
      <c r="C232" s="55" t="str">
        <f t="shared" si="52"/>
        <v/>
      </c>
      <c r="D232" s="55" t="str">
        <f t="shared" si="53"/>
        <v/>
      </c>
    </row>
    <row r="233" spans="1:4" ht="15.75" hidden="1" thickBot="1">
      <c r="A233" s="30" t="str">
        <f t="shared" si="50"/>
        <v/>
      </c>
      <c r="B233" s="55" t="str">
        <f t="shared" si="51"/>
        <v/>
      </c>
      <c r="C233" s="55" t="str">
        <f t="shared" si="52"/>
        <v/>
      </c>
      <c r="D233" s="55" t="str">
        <f t="shared" si="53"/>
        <v/>
      </c>
    </row>
    <row r="234" spans="1:4" ht="15.75" hidden="1" thickBot="1">
      <c r="A234" s="30" t="str">
        <f t="shared" si="50"/>
        <v/>
      </c>
      <c r="B234" s="55" t="str">
        <f t="shared" si="51"/>
        <v/>
      </c>
      <c r="C234" s="55" t="str">
        <f t="shared" si="52"/>
        <v/>
      </c>
      <c r="D234" s="55" t="str">
        <f t="shared" si="53"/>
        <v/>
      </c>
    </row>
    <row r="235" spans="1:4" ht="15.75" hidden="1" thickBot="1">
      <c r="A235" s="30" t="str">
        <f t="shared" si="50"/>
        <v/>
      </c>
      <c r="B235" s="55" t="str">
        <f t="shared" si="51"/>
        <v/>
      </c>
      <c r="C235" s="55" t="str">
        <f t="shared" si="52"/>
        <v/>
      </c>
      <c r="D235" s="55" t="str">
        <f t="shared" si="53"/>
        <v/>
      </c>
    </row>
    <row r="236" spans="1:4" ht="15.75" hidden="1" thickBot="1">
      <c r="A236" s="30" t="str">
        <f t="shared" si="50"/>
        <v/>
      </c>
      <c r="B236" s="55" t="str">
        <f t="shared" si="51"/>
        <v/>
      </c>
      <c r="C236" s="55" t="str">
        <f t="shared" si="52"/>
        <v/>
      </c>
      <c r="D236" s="55" t="str">
        <f t="shared" si="53"/>
        <v/>
      </c>
    </row>
    <row r="237" spans="1:4" ht="15.75" hidden="1" thickBot="1">
      <c r="A237" s="30" t="str">
        <f t="shared" si="50"/>
        <v/>
      </c>
      <c r="B237" s="55" t="str">
        <f t="shared" si="51"/>
        <v/>
      </c>
      <c r="C237" s="55" t="str">
        <f t="shared" si="52"/>
        <v/>
      </c>
      <c r="D237" s="55" t="str">
        <f t="shared" si="53"/>
        <v/>
      </c>
    </row>
    <row r="238" spans="1:4" ht="15.75" hidden="1" thickBot="1">
      <c r="A238" s="30" t="str">
        <f t="shared" si="50"/>
        <v/>
      </c>
      <c r="B238" s="55" t="str">
        <f t="shared" si="51"/>
        <v/>
      </c>
      <c r="C238" s="55" t="str">
        <f t="shared" si="52"/>
        <v/>
      </c>
      <c r="D238" s="55" t="str">
        <f t="shared" si="53"/>
        <v/>
      </c>
    </row>
    <row r="239" spans="1:4" ht="15.75" hidden="1" thickBot="1">
      <c r="A239" s="30" t="str">
        <f t="shared" si="50"/>
        <v/>
      </c>
      <c r="B239" s="55" t="str">
        <f t="shared" si="51"/>
        <v/>
      </c>
      <c r="C239" s="55" t="str">
        <f t="shared" si="52"/>
        <v/>
      </c>
      <c r="D239" s="55" t="str">
        <f t="shared" si="53"/>
        <v/>
      </c>
    </row>
    <row r="240" spans="1:4" ht="15.75" hidden="1" thickBot="1">
      <c r="A240" s="30" t="str">
        <f t="shared" si="50"/>
        <v/>
      </c>
      <c r="B240" s="55" t="str">
        <f t="shared" si="51"/>
        <v/>
      </c>
      <c r="C240" s="55" t="str">
        <f t="shared" si="52"/>
        <v/>
      </c>
      <c r="D240" s="55" t="str">
        <f t="shared" si="53"/>
        <v/>
      </c>
    </row>
    <row r="241" spans="1:4" ht="15.75" hidden="1" thickBot="1">
      <c r="A241" s="30" t="str">
        <f t="shared" si="50"/>
        <v/>
      </c>
      <c r="B241" s="55" t="str">
        <f t="shared" si="51"/>
        <v/>
      </c>
      <c r="C241" s="55" t="str">
        <f t="shared" si="52"/>
        <v/>
      </c>
      <c r="D241" s="55" t="str">
        <f t="shared" si="53"/>
        <v/>
      </c>
    </row>
    <row r="242" spans="1:4" ht="15.75" hidden="1" thickBot="1">
      <c r="A242" s="30" t="str">
        <f t="shared" si="50"/>
        <v/>
      </c>
      <c r="B242" s="55" t="str">
        <f t="shared" si="51"/>
        <v/>
      </c>
      <c r="C242" s="55" t="str">
        <f t="shared" si="52"/>
        <v/>
      </c>
      <c r="D242" s="55" t="str">
        <f t="shared" si="53"/>
        <v/>
      </c>
    </row>
    <row r="243" spans="1:4" ht="15.75" hidden="1" thickBot="1">
      <c r="A243" s="30" t="str">
        <f t="shared" si="50"/>
        <v/>
      </c>
      <c r="B243" s="55" t="str">
        <f t="shared" si="51"/>
        <v/>
      </c>
      <c r="C243" s="55" t="str">
        <f t="shared" si="52"/>
        <v/>
      </c>
      <c r="D243" s="55" t="str">
        <f t="shared" si="53"/>
        <v/>
      </c>
    </row>
    <row r="244" spans="1:4" ht="15.75" hidden="1" thickBot="1">
      <c r="A244" s="30" t="str">
        <f t="shared" si="50"/>
        <v/>
      </c>
      <c r="B244" s="55" t="str">
        <f t="shared" si="51"/>
        <v/>
      </c>
      <c r="C244" s="55" t="str">
        <f t="shared" si="52"/>
        <v/>
      </c>
      <c r="D244" s="55" t="str">
        <f t="shared" si="53"/>
        <v/>
      </c>
    </row>
    <row r="245" spans="1:4" ht="15.75" hidden="1" thickBot="1">
      <c r="A245" s="30" t="str">
        <f t="shared" si="50"/>
        <v/>
      </c>
      <c r="B245" s="55" t="str">
        <f t="shared" si="51"/>
        <v/>
      </c>
      <c r="C245" s="55" t="str">
        <f t="shared" si="52"/>
        <v/>
      </c>
      <c r="D245" s="55" t="str">
        <f t="shared" si="53"/>
        <v/>
      </c>
    </row>
    <row r="246" spans="1:4" ht="15.75" hidden="1" thickBot="1">
      <c r="A246" s="30" t="str">
        <f t="shared" si="50"/>
        <v/>
      </c>
      <c r="B246" s="55" t="str">
        <f t="shared" si="51"/>
        <v/>
      </c>
      <c r="C246" s="55" t="str">
        <f t="shared" si="52"/>
        <v/>
      </c>
      <c r="D246" s="55" t="str">
        <f t="shared" si="53"/>
        <v/>
      </c>
    </row>
    <row r="247" spans="1:4" ht="15.75" hidden="1" thickBot="1">
      <c r="A247" s="30" t="str">
        <f t="shared" si="50"/>
        <v/>
      </c>
      <c r="B247" s="55" t="str">
        <f t="shared" si="51"/>
        <v/>
      </c>
      <c r="C247" s="55" t="str">
        <f t="shared" si="52"/>
        <v/>
      </c>
      <c r="D247" s="55" t="str">
        <f t="shared" si="53"/>
        <v/>
      </c>
    </row>
    <row r="248" spans="1:4" ht="15.75" hidden="1" thickBot="1">
      <c r="A248" s="30" t="str">
        <f t="shared" si="50"/>
        <v/>
      </c>
      <c r="B248" s="55" t="str">
        <f t="shared" si="51"/>
        <v/>
      </c>
      <c r="C248" s="55" t="str">
        <f t="shared" si="52"/>
        <v/>
      </c>
      <c r="D248" s="55" t="str">
        <f t="shared" si="53"/>
        <v/>
      </c>
    </row>
    <row r="249" spans="1:4" ht="15.75" hidden="1" thickBot="1">
      <c r="A249" s="30" t="str">
        <f t="shared" si="50"/>
        <v/>
      </c>
      <c r="B249" s="55" t="str">
        <f t="shared" si="51"/>
        <v/>
      </c>
      <c r="C249" s="55" t="str">
        <f t="shared" si="52"/>
        <v/>
      </c>
      <c r="D249" s="55" t="str">
        <f t="shared" si="53"/>
        <v/>
      </c>
    </row>
    <row r="250" spans="1:4" ht="15.75" hidden="1" thickBot="1">
      <c r="A250" s="30" t="str">
        <f t="shared" si="50"/>
        <v/>
      </c>
      <c r="B250" s="55" t="str">
        <f t="shared" si="51"/>
        <v/>
      </c>
      <c r="C250" s="55" t="str">
        <f t="shared" si="52"/>
        <v/>
      </c>
      <c r="D250" s="55" t="str">
        <f t="shared" si="53"/>
        <v/>
      </c>
    </row>
    <row r="251" spans="1:4" ht="15.75" hidden="1" thickBot="1">
      <c r="A251" s="30" t="str">
        <f t="shared" si="50"/>
        <v/>
      </c>
      <c r="B251" s="55" t="str">
        <f t="shared" si="51"/>
        <v/>
      </c>
      <c r="C251" s="55" t="str">
        <f t="shared" si="52"/>
        <v/>
      </c>
      <c r="D251" s="55" t="str">
        <f t="shared" si="53"/>
        <v/>
      </c>
    </row>
    <row r="252" spans="1:4" ht="15.75" hidden="1" thickBot="1">
      <c r="A252" s="30" t="str">
        <f t="shared" si="50"/>
        <v/>
      </c>
      <c r="B252" s="55" t="str">
        <f t="shared" si="51"/>
        <v/>
      </c>
      <c r="C252" s="55" t="str">
        <f t="shared" si="52"/>
        <v/>
      </c>
      <c r="D252" s="55" t="str">
        <f t="shared" si="53"/>
        <v/>
      </c>
    </row>
    <row r="253" spans="1:4" ht="15.75" hidden="1" thickBot="1">
      <c r="A253" s="30" t="str">
        <f t="shared" si="50"/>
        <v/>
      </c>
      <c r="B253" s="55" t="str">
        <f t="shared" si="51"/>
        <v/>
      </c>
      <c r="C253" s="55" t="str">
        <f t="shared" si="52"/>
        <v/>
      </c>
      <c r="D253" s="55" t="str">
        <f t="shared" si="53"/>
        <v/>
      </c>
    </row>
    <row r="254" spans="1:4" ht="15.75" hidden="1" thickBot="1">
      <c r="A254" s="30" t="str">
        <f t="shared" si="50"/>
        <v/>
      </c>
      <c r="B254" s="55" t="str">
        <f t="shared" si="51"/>
        <v/>
      </c>
      <c r="C254" s="55" t="str">
        <f t="shared" si="52"/>
        <v/>
      </c>
      <c r="D254" s="55" t="str">
        <f t="shared" si="53"/>
        <v/>
      </c>
    </row>
    <row r="255" spans="1:4" ht="15.75" hidden="1" thickBot="1">
      <c r="A255" s="30" t="str">
        <f t="shared" si="50"/>
        <v/>
      </c>
      <c r="B255" s="55" t="str">
        <f t="shared" si="51"/>
        <v/>
      </c>
      <c r="C255" s="55" t="str">
        <f t="shared" si="52"/>
        <v/>
      </c>
      <c r="D255" s="55" t="str">
        <f t="shared" si="53"/>
        <v/>
      </c>
    </row>
    <row r="256" spans="1:4" ht="15.75" hidden="1" thickBot="1">
      <c r="A256" s="30" t="str">
        <f t="shared" si="50"/>
        <v/>
      </c>
      <c r="B256" s="55" t="str">
        <f t="shared" si="51"/>
        <v/>
      </c>
      <c r="C256" s="55" t="str">
        <f t="shared" si="52"/>
        <v/>
      </c>
      <c r="D256" s="55" t="str">
        <f t="shared" si="53"/>
        <v/>
      </c>
    </row>
    <row r="257" spans="1:4" ht="15.75" hidden="1" thickBot="1">
      <c r="A257" s="30" t="str">
        <f t="shared" si="50"/>
        <v/>
      </c>
      <c r="B257" s="55" t="str">
        <f t="shared" si="51"/>
        <v/>
      </c>
      <c r="C257" s="55" t="str">
        <f t="shared" si="52"/>
        <v/>
      </c>
      <c r="D257" s="55" t="str">
        <f t="shared" si="53"/>
        <v/>
      </c>
    </row>
    <row r="258" spans="1:4" ht="15.75" hidden="1" thickBot="1">
      <c r="A258" s="30" t="str">
        <f t="shared" si="50"/>
        <v/>
      </c>
      <c r="B258" s="55" t="str">
        <f t="shared" si="51"/>
        <v/>
      </c>
      <c r="C258" s="55" t="str">
        <f t="shared" si="52"/>
        <v/>
      </c>
      <c r="D258" s="55" t="str">
        <f t="shared" si="53"/>
        <v/>
      </c>
    </row>
    <row r="259" spans="1:4" ht="15.75" hidden="1" thickBot="1">
      <c r="A259" s="30" t="str">
        <f t="shared" si="50"/>
        <v/>
      </c>
      <c r="B259" s="55" t="str">
        <f t="shared" si="51"/>
        <v/>
      </c>
      <c r="C259" s="55" t="str">
        <f t="shared" si="52"/>
        <v/>
      </c>
      <c r="D259" s="55" t="str">
        <f t="shared" si="53"/>
        <v/>
      </c>
    </row>
    <row r="260" spans="1:4" ht="15.75" hidden="1" thickBot="1">
      <c r="A260" s="30" t="str">
        <f t="shared" si="50"/>
        <v/>
      </c>
      <c r="B260" s="55" t="str">
        <f t="shared" si="51"/>
        <v/>
      </c>
      <c r="C260" s="55" t="str">
        <f t="shared" si="52"/>
        <v/>
      </c>
      <c r="D260" s="55" t="str">
        <f t="shared" si="53"/>
        <v/>
      </c>
    </row>
    <row r="261" spans="1:4" ht="15.75" hidden="1" thickBot="1">
      <c r="A261" s="30" t="str">
        <f t="shared" si="50"/>
        <v/>
      </c>
      <c r="B261" s="55" t="str">
        <f t="shared" si="51"/>
        <v/>
      </c>
      <c r="C261" s="55" t="str">
        <f t="shared" si="52"/>
        <v/>
      </c>
      <c r="D261" s="55" t="str">
        <f t="shared" si="53"/>
        <v/>
      </c>
    </row>
    <row r="262" spans="1:4" ht="15.75" hidden="1" thickBot="1">
      <c r="A262" s="30" t="str">
        <f t="shared" si="50"/>
        <v/>
      </c>
      <c r="B262" s="55" t="str">
        <f t="shared" si="51"/>
        <v/>
      </c>
      <c r="C262" s="55" t="str">
        <f t="shared" si="52"/>
        <v/>
      </c>
      <c r="D262" s="55" t="str">
        <f t="shared" si="53"/>
        <v/>
      </c>
    </row>
    <row r="263" spans="1:4" ht="15.75" hidden="1" thickBot="1">
      <c r="A263" s="30" t="str">
        <f t="shared" si="50"/>
        <v/>
      </c>
      <c r="B263" s="55" t="str">
        <f t="shared" si="51"/>
        <v/>
      </c>
      <c r="C263" s="55" t="str">
        <f t="shared" si="52"/>
        <v/>
      </c>
      <c r="D263" s="55" t="str">
        <f t="shared" si="53"/>
        <v/>
      </c>
    </row>
    <row r="264" spans="1:4" ht="15.75" hidden="1" thickBot="1">
      <c r="A264" s="30" t="str">
        <f t="shared" si="50"/>
        <v/>
      </c>
      <c r="B264" s="55" t="str">
        <f t="shared" si="51"/>
        <v/>
      </c>
      <c r="C264" s="55" t="str">
        <f t="shared" si="52"/>
        <v/>
      </c>
      <c r="D264" s="55" t="str">
        <f t="shared" si="53"/>
        <v/>
      </c>
    </row>
    <row r="265" spans="1:4" ht="15.75" hidden="1" thickBot="1">
      <c r="A265" s="30" t="str">
        <f t="shared" si="50"/>
        <v/>
      </c>
      <c r="B265" s="55" t="str">
        <f t="shared" si="51"/>
        <v/>
      </c>
      <c r="C265" s="55" t="str">
        <f t="shared" si="52"/>
        <v/>
      </c>
      <c r="D265" s="55" t="str">
        <f t="shared" si="53"/>
        <v/>
      </c>
    </row>
    <row r="266" spans="1:4" ht="15.75" hidden="1" thickBot="1">
      <c r="A266" s="30" t="str">
        <f t="shared" si="50"/>
        <v/>
      </c>
      <c r="B266" s="55" t="str">
        <f t="shared" si="51"/>
        <v/>
      </c>
      <c r="C266" s="55" t="str">
        <f t="shared" si="52"/>
        <v/>
      </c>
      <c r="D266" s="55" t="str">
        <f t="shared" si="53"/>
        <v/>
      </c>
    </row>
    <row r="267" spans="1:4" ht="15.75" hidden="1" thickBot="1">
      <c r="A267" s="30" t="str">
        <f t="shared" si="50"/>
        <v/>
      </c>
      <c r="B267" s="55" t="str">
        <f t="shared" si="51"/>
        <v/>
      </c>
      <c r="C267" s="55" t="str">
        <f t="shared" si="52"/>
        <v/>
      </c>
      <c r="D267" s="55" t="str">
        <f t="shared" si="53"/>
        <v/>
      </c>
    </row>
    <row r="268" spans="1:4" ht="15.75" hidden="1" thickBot="1">
      <c r="A268" s="30" t="str">
        <f t="shared" si="50"/>
        <v/>
      </c>
      <c r="B268" s="55" t="str">
        <f t="shared" si="51"/>
        <v/>
      </c>
      <c r="C268" s="55" t="str">
        <f t="shared" si="52"/>
        <v/>
      </c>
      <c r="D268" s="55" t="str">
        <f t="shared" si="53"/>
        <v/>
      </c>
    </row>
    <row r="269" spans="1:4" ht="15.75" hidden="1" thickBot="1">
      <c r="A269" s="30" t="str">
        <f t="shared" si="50"/>
        <v/>
      </c>
      <c r="B269" s="55" t="str">
        <f t="shared" si="51"/>
        <v/>
      </c>
      <c r="C269" s="55" t="str">
        <f t="shared" si="52"/>
        <v/>
      </c>
      <c r="D269" s="55" t="str">
        <f t="shared" si="53"/>
        <v/>
      </c>
    </row>
    <row r="270" spans="1:4" ht="15.75" hidden="1" thickBot="1">
      <c r="A270" s="30" t="str">
        <f t="shared" si="50"/>
        <v/>
      </c>
      <c r="B270" s="55" t="str">
        <f t="shared" si="51"/>
        <v/>
      </c>
      <c r="C270" s="55" t="str">
        <f t="shared" si="52"/>
        <v/>
      </c>
      <c r="D270" s="55" t="str">
        <f t="shared" si="53"/>
        <v/>
      </c>
    </row>
    <row r="271" spans="1:4" ht="15.75" hidden="1" thickBot="1">
      <c r="A271" s="30" t="str">
        <f t="shared" si="50"/>
        <v/>
      </c>
      <c r="B271" s="55" t="str">
        <f t="shared" si="51"/>
        <v/>
      </c>
      <c r="C271" s="55" t="str">
        <f t="shared" si="52"/>
        <v/>
      </c>
      <c r="D271" s="55" t="str">
        <f t="shared" si="53"/>
        <v/>
      </c>
    </row>
    <row r="272" spans="1:4" ht="15.75" hidden="1" thickBot="1">
      <c r="A272" s="30" t="str">
        <f t="shared" si="50"/>
        <v/>
      </c>
      <c r="B272" s="55" t="str">
        <f t="shared" si="51"/>
        <v/>
      </c>
      <c r="C272" s="55" t="str">
        <f t="shared" si="52"/>
        <v/>
      </c>
      <c r="D272" s="55" t="str">
        <f t="shared" si="53"/>
        <v/>
      </c>
    </row>
    <row r="273" spans="1:4" ht="15.75" hidden="1" thickBot="1">
      <c r="A273" s="30" t="str">
        <f t="shared" si="50"/>
        <v/>
      </c>
      <c r="B273" s="55" t="str">
        <f t="shared" si="51"/>
        <v/>
      </c>
      <c r="C273" s="55" t="str">
        <f t="shared" si="52"/>
        <v/>
      </c>
      <c r="D273" s="55" t="str">
        <f t="shared" si="53"/>
        <v/>
      </c>
    </row>
    <row r="274" spans="1:4" ht="15.75" hidden="1" thickBot="1">
      <c r="A274" s="30" t="str">
        <f t="shared" si="50"/>
        <v/>
      </c>
      <c r="B274" s="55" t="str">
        <f t="shared" si="51"/>
        <v/>
      </c>
      <c r="C274" s="55" t="str">
        <f t="shared" si="52"/>
        <v/>
      </c>
      <c r="D274" s="55" t="str">
        <f t="shared" si="53"/>
        <v/>
      </c>
    </row>
    <row r="275" spans="1:4" ht="15.75" hidden="1" thickBot="1">
      <c r="A275" s="30" t="str">
        <f t="shared" si="50"/>
        <v/>
      </c>
      <c r="B275" s="55" t="str">
        <f t="shared" si="51"/>
        <v/>
      </c>
      <c r="C275" s="55" t="str">
        <f t="shared" si="52"/>
        <v/>
      </c>
      <c r="D275" s="55" t="str">
        <f t="shared" si="53"/>
        <v/>
      </c>
    </row>
    <row r="276" spans="1:4" ht="15.75" hidden="1" thickBot="1">
      <c r="A276" s="30" t="str">
        <f t="shared" si="50"/>
        <v/>
      </c>
      <c r="B276" s="55" t="str">
        <f t="shared" si="51"/>
        <v/>
      </c>
      <c r="C276" s="55" t="str">
        <f t="shared" si="52"/>
        <v/>
      </c>
      <c r="D276" s="55" t="str">
        <f t="shared" si="53"/>
        <v/>
      </c>
    </row>
    <row r="277" spans="1:4" ht="15.75" hidden="1" thickBot="1">
      <c r="A277" s="30" t="str">
        <f t="shared" si="50"/>
        <v/>
      </c>
      <c r="B277" s="55" t="str">
        <f t="shared" si="51"/>
        <v/>
      </c>
      <c r="C277" s="55" t="str">
        <f t="shared" si="52"/>
        <v/>
      </c>
      <c r="D277" s="55" t="str">
        <f t="shared" si="53"/>
        <v/>
      </c>
    </row>
    <row r="278" spans="1:4" ht="15.75" hidden="1" thickBot="1">
      <c r="A278" s="30" t="str">
        <f t="shared" si="50"/>
        <v/>
      </c>
      <c r="B278" s="55" t="str">
        <f t="shared" si="51"/>
        <v/>
      </c>
      <c r="C278" s="55" t="str">
        <f t="shared" si="52"/>
        <v/>
      </c>
      <c r="D278" s="55" t="str">
        <f t="shared" si="53"/>
        <v/>
      </c>
    </row>
    <row r="279" spans="1:4" ht="15.75" hidden="1" thickBot="1">
      <c r="A279" s="30" t="str">
        <f t="shared" si="50"/>
        <v/>
      </c>
      <c r="B279" s="55" t="str">
        <f t="shared" si="51"/>
        <v/>
      </c>
      <c r="C279" s="55" t="str">
        <f t="shared" si="52"/>
        <v/>
      </c>
      <c r="D279" s="55" t="str">
        <f t="shared" si="53"/>
        <v/>
      </c>
    </row>
    <row r="280" spans="1:4" ht="15.75" hidden="1" thickBot="1">
      <c r="A280" s="30" t="str">
        <f t="shared" ref="A280:A306" si="54">A72</f>
        <v/>
      </c>
      <c r="B280" s="55" t="str">
        <f t="shared" ref="B280:B306" si="55">IFERROR(INDEX($B$7:$D$98,MATCH(INDEX($A$112:$A$203,MATCH(SMALL($Q$112:$Q$203,$A280),$Q$112:$Q$203,0)),$A$7:$A$98,0),1),"")</f>
        <v/>
      </c>
      <c r="C280" s="55" t="str">
        <f t="shared" ref="C280:C306" si="56">IFERROR(INDEX($B$7:$D$98,MATCH(INDEX($A$112:$A$203,MATCH(SMALL($Q$112:$Q$203,$A280),$Q$112:$Q$203,0)),$A$7:$A$98,0),2),"")</f>
        <v/>
      </c>
      <c r="D280" s="55" t="str">
        <f t="shared" ref="D280:D306" si="57">IFERROR(INDEX($B$7:$D$98,MATCH(INDEX($A$112:$A$203,MATCH(SMALL($Q$112:$Q$203,$A280),$Q$112:$Q$203,0)),$A$7:$A$98,0),3),"")</f>
        <v/>
      </c>
    </row>
    <row r="281" spans="1:4" ht="15.75" hidden="1" thickBot="1">
      <c r="A281" s="30" t="str">
        <f t="shared" si="54"/>
        <v/>
      </c>
      <c r="B281" s="55" t="str">
        <f t="shared" si="55"/>
        <v/>
      </c>
      <c r="C281" s="55" t="str">
        <f t="shared" si="56"/>
        <v/>
      </c>
      <c r="D281" s="55" t="str">
        <f t="shared" si="57"/>
        <v/>
      </c>
    </row>
    <row r="282" spans="1:4" ht="15.75" hidden="1" thickBot="1">
      <c r="A282" s="30" t="str">
        <f t="shared" si="54"/>
        <v/>
      </c>
      <c r="B282" s="55" t="str">
        <f t="shared" si="55"/>
        <v/>
      </c>
      <c r="C282" s="55" t="str">
        <f t="shared" si="56"/>
        <v/>
      </c>
      <c r="D282" s="55" t="str">
        <f t="shared" si="57"/>
        <v/>
      </c>
    </row>
    <row r="283" spans="1:4" ht="15.75" hidden="1" thickBot="1">
      <c r="A283" s="30" t="str">
        <f t="shared" si="54"/>
        <v/>
      </c>
      <c r="B283" s="55" t="str">
        <f t="shared" si="55"/>
        <v/>
      </c>
      <c r="C283" s="55" t="str">
        <f t="shared" si="56"/>
        <v/>
      </c>
      <c r="D283" s="55" t="str">
        <f t="shared" si="57"/>
        <v/>
      </c>
    </row>
    <row r="284" spans="1:4" ht="15.75" hidden="1" thickBot="1">
      <c r="A284" s="30" t="str">
        <f t="shared" si="54"/>
        <v/>
      </c>
      <c r="B284" s="55" t="str">
        <f t="shared" si="55"/>
        <v/>
      </c>
      <c r="C284" s="55" t="str">
        <f t="shared" si="56"/>
        <v/>
      </c>
      <c r="D284" s="55" t="str">
        <f t="shared" si="57"/>
        <v/>
      </c>
    </row>
    <row r="285" spans="1:4" ht="15.75" hidden="1" thickBot="1">
      <c r="A285" s="30" t="str">
        <f t="shared" si="54"/>
        <v/>
      </c>
      <c r="B285" s="55" t="str">
        <f t="shared" si="55"/>
        <v/>
      </c>
      <c r="C285" s="55" t="str">
        <f t="shared" si="56"/>
        <v/>
      </c>
      <c r="D285" s="55" t="str">
        <f t="shared" si="57"/>
        <v/>
      </c>
    </row>
    <row r="286" spans="1:4" ht="15.75" hidden="1" thickBot="1">
      <c r="A286" s="30" t="str">
        <f t="shared" si="54"/>
        <v/>
      </c>
      <c r="B286" s="55" t="str">
        <f t="shared" si="55"/>
        <v/>
      </c>
      <c r="C286" s="55" t="str">
        <f t="shared" si="56"/>
        <v/>
      </c>
      <c r="D286" s="55" t="str">
        <f t="shared" si="57"/>
        <v/>
      </c>
    </row>
    <row r="287" spans="1:4" ht="15.75" hidden="1" thickBot="1">
      <c r="A287" s="30" t="str">
        <f t="shared" si="54"/>
        <v/>
      </c>
      <c r="B287" s="55" t="str">
        <f t="shared" si="55"/>
        <v/>
      </c>
      <c r="C287" s="55" t="str">
        <f t="shared" si="56"/>
        <v/>
      </c>
      <c r="D287" s="55" t="str">
        <f t="shared" si="57"/>
        <v/>
      </c>
    </row>
    <row r="288" spans="1:4" ht="15.75" hidden="1" thickBot="1">
      <c r="A288" s="30" t="str">
        <f t="shared" si="54"/>
        <v/>
      </c>
      <c r="B288" s="55" t="str">
        <f t="shared" si="55"/>
        <v/>
      </c>
      <c r="C288" s="55" t="str">
        <f t="shared" si="56"/>
        <v/>
      </c>
      <c r="D288" s="55" t="str">
        <f t="shared" si="57"/>
        <v/>
      </c>
    </row>
    <row r="289" spans="1:4" ht="15.75" hidden="1" thickBot="1">
      <c r="A289" s="30" t="str">
        <f t="shared" si="54"/>
        <v/>
      </c>
      <c r="B289" s="55" t="str">
        <f t="shared" si="55"/>
        <v/>
      </c>
      <c r="C289" s="55" t="str">
        <f t="shared" si="56"/>
        <v/>
      </c>
      <c r="D289" s="55" t="str">
        <f t="shared" si="57"/>
        <v/>
      </c>
    </row>
    <row r="290" spans="1:4" ht="15.75" hidden="1" thickBot="1">
      <c r="A290" s="30" t="str">
        <f t="shared" si="54"/>
        <v/>
      </c>
      <c r="B290" s="55" t="str">
        <f t="shared" si="55"/>
        <v/>
      </c>
      <c r="C290" s="55" t="str">
        <f t="shared" si="56"/>
        <v/>
      </c>
      <c r="D290" s="55" t="str">
        <f t="shared" si="57"/>
        <v/>
      </c>
    </row>
    <row r="291" spans="1:4" ht="15.75" hidden="1" thickBot="1">
      <c r="A291" s="30" t="str">
        <f t="shared" si="54"/>
        <v/>
      </c>
      <c r="B291" s="55" t="str">
        <f t="shared" si="55"/>
        <v/>
      </c>
      <c r="C291" s="55" t="str">
        <f t="shared" si="56"/>
        <v/>
      </c>
      <c r="D291" s="55" t="str">
        <f t="shared" si="57"/>
        <v/>
      </c>
    </row>
    <row r="292" spans="1:4" ht="15.75" hidden="1" thickBot="1">
      <c r="A292" s="30" t="str">
        <f t="shared" si="54"/>
        <v/>
      </c>
      <c r="B292" s="55" t="str">
        <f t="shared" si="55"/>
        <v/>
      </c>
      <c r="C292" s="55" t="str">
        <f t="shared" si="56"/>
        <v/>
      </c>
      <c r="D292" s="55" t="str">
        <f t="shared" si="57"/>
        <v/>
      </c>
    </row>
    <row r="293" spans="1:4" ht="15.75" hidden="1" thickBot="1">
      <c r="A293" s="30" t="str">
        <f t="shared" si="54"/>
        <v/>
      </c>
      <c r="B293" s="55" t="str">
        <f t="shared" si="55"/>
        <v/>
      </c>
      <c r="C293" s="55" t="str">
        <f t="shared" si="56"/>
        <v/>
      </c>
      <c r="D293" s="55" t="str">
        <f t="shared" si="57"/>
        <v/>
      </c>
    </row>
    <row r="294" spans="1:4" ht="15.75" hidden="1" thickBot="1">
      <c r="A294" s="30" t="str">
        <f t="shared" si="54"/>
        <v/>
      </c>
      <c r="B294" s="55" t="str">
        <f t="shared" si="55"/>
        <v/>
      </c>
      <c r="C294" s="55" t="str">
        <f t="shared" si="56"/>
        <v/>
      </c>
      <c r="D294" s="55" t="str">
        <f t="shared" si="57"/>
        <v/>
      </c>
    </row>
    <row r="295" spans="1:4" ht="15.75" hidden="1" thickBot="1">
      <c r="A295" s="30" t="str">
        <f t="shared" si="54"/>
        <v/>
      </c>
      <c r="B295" s="55" t="str">
        <f t="shared" si="55"/>
        <v/>
      </c>
      <c r="C295" s="55" t="str">
        <f t="shared" si="56"/>
        <v/>
      </c>
      <c r="D295" s="55" t="str">
        <f t="shared" si="57"/>
        <v/>
      </c>
    </row>
    <row r="296" spans="1:4" ht="15.75" hidden="1" thickBot="1">
      <c r="A296" s="30" t="str">
        <f t="shared" si="54"/>
        <v/>
      </c>
      <c r="B296" s="55" t="str">
        <f t="shared" si="55"/>
        <v/>
      </c>
      <c r="C296" s="55" t="str">
        <f t="shared" si="56"/>
        <v/>
      </c>
      <c r="D296" s="55" t="str">
        <f t="shared" si="57"/>
        <v/>
      </c>
    </row>
    <row r="297" spans="1:4" ht="15.75" hidden="1" thickBot="1">
      <c r="A297" s="30" t="str">
        <f t="shared" si="54"/>
        <v/>
      </c>
      <c r="B297" s="55" t="str">
        <f t="shared" si="55"/>
        <v/>
      </c>
      <c r="C297" s="55" t="str">
        <f t="shared" si="56"/>
        <v/>
      </c>
      <c r="D297" s="55" t="str">
        <f t="shared" si="57"/>
        <v/>
      </c>
    </row>
    <row r="298" spans="1:4" ht="15.75" hidden="1" thickBot="1">
      <c r="A298" s="30" t="str">
        <f t="shared" si="54"/>
        <v/>
      </c>
      <c r="B298" s="55" t="str">
        <f t="shared" si="55"/>
        <v/>
      </c>
      <c r="C298" s="55" t="str">
        <f t="shared" si="56"/>
        <v/>
      </c>
      <c r="D298" s="55" t="str">
        <f t="shared" si="57"/>
        <v/>
      </c>
    </row>
    <row r="299" spans="1:4" ht="15.75" hidden="1" thickBot="1">
      <c r="A299" s="30" t="str">
        <f t="shared" si="54"/>
        <v/>
      </c>
      <c r="B299" s="55" t="str">
        <f t="shared" si="55"/>
        <v/>
      </c>
      <c r="C299" s="55" t="str">
        <f t="shared" si="56"/>
        <v/>
      </c>
      <c r="D299" s="55" t="str">
        <f t="shared" si="57"/>
        <v/>
      </c>
    </row>
    <row r="300" spans="1:4" ht="15.75" hidden="1" thickBot="1">
      <c r="A300" s="30" t="str">
        <f t="shared" si="54"/>
        <v/>
      </c>
      <c r="B300" s="55" t="str">
        <f t="shared" si="55"/>
        <v/>
      </c>
      <c r="C300" s="55" t="str">
        <f t="shared" si="56"/>
        <v/>
      </c>
      <c r="D300" s="55" t="str">
        <f t="shared" si="57"/>
        <v/>
      </c>
    </row>
    <row r="301" spans="1:4" ht="15.75" hidden="1" thickBot="1">
      <c r="A301" s="30" t="str">
        <f t="shared" si="54"/>
        <v/>
      </c>
      <c r="B301" s="55" t="str">
        <f t="shared" si="55"/>
        <v/>
      </c>
      <c r="C301" s="55" t="str">
        <f t="shared" si="56"/>
        <v/>
      </c>
      <c r="D301" s="55" t="str">
        <f t="shared" si="57"/>
        <v/>
      </c>
    </row>
    <row r="302" spans="1:4" ht="15.75" hidden="1" thickBot="1">
      <c r="A302" s="30" t="str">
        <f t="shared" si="54"/>
        <v/>
      </c>
      <c r="B302" s="55" t="str">
        <f t="shared" si="55"/>
        <v/>
      </c>
      <c r="C302" s="55" t="str">
        <f t="shared" si="56"/>
        <v/>
      </c>
      <c r="D302" s="55" t="str">
        <f t="shared" si="57"/>
        <v/>
      </c>
    </row>
    <row r="303" spans="1:4" ht="15.75" hidden="1" thickBot="1">
      <c r="A303" s="30" t="str">
        <f t="shared" si="54"/>
        <v/>
      </c>
      <c r="B303" s="55" t="str">
        <f t="shared" si="55"/>
        <v/>
      </c>
      <c r="C303" s="55" t="str">
        <f t="shared" si="56"/>
        <v/>
      </c>
      <c r="D303" s="55" t="str">
        <f t="shared" si="57"/>
        <v/>
      </c>
    </row>
    <row r="304" spans="1:4" ht="15.75" hidden="1" thickBot="1">
      <c r="A304" s="30" t="str">
        <f t="shared" si="54"/>
        <v/>
      </c>
      <c r="B304" s="55" t="str">
        <f t="shared" si="55"/>
        <v/>
      </c>
      <c r="C304" s="55" t="str">
        <f t="shared" si="56"/>
        <v/>
      </c>
      <c r="D304" s="55" t="str">
        <f t="shared" si="57"/>
        <v/>
      </c>
    </row>
    <row r="305" spans="1:4" ht="15.75" hidden="1" thickBot="1">
      <c r="A305" s="30" t="str">
        <f t="shared" si="54"/>
        <v/>
      </c>
      <c r="B305" s="55" t="str">
        <f t="shared" si="55"/>
        <v/>
      </c>
      <c r="C305" s="55" t="str">
        <f t="shared" si="56"/>
        <v/>
      </c>
      <c r="D305" s="55" t="str">
        <f t="shared" si="57"/>
        <v/>
      </c>
    </row>
    <row r="306" spans="1:4" ht="15.75" hidden="1" thickBot="1">
      <c r="A306" s="30" t="str">
        <f t="shared" si="54"/>
        <v/>
      </c>
      <c r="B306" s="55" t="str">
        <f t="shared" si="55"/>
        <v/>
      </c>
      <c r="C306" s="55" t="str">
        <f t="shared" si="56"/>
        <v/>
      </c>
      <c r="D306" s="55" t="str">
        <f t="shared" si="57"/>
        <v/>
      </c>
    </row>
    <row r="307" spans="1:4" ht="15.75" hidden="1" thickBot="1"/>
    <row r="308" spans="1:4" ht="15.75" hidden="1" thickBot="1">
      <c r="A308" s="30"/>
      <c r="B308" s="67" t="str">
        <f>J110</f>
        <v>Empresa 2</v>
      </c>
      <c r="C308" s="107"/>
      <c r="D308" s="68"/>
    </row>
    <row r="309" spans="1:4" hidden="1">
      <c r="A309" s="30"/>
      <c r="B309" s="59" t="s">
        <v>1</v>
      </c>
      <c r="C309" s="59" t="s">
        <v>2</v>
      </c>
      <c r="D309" s="59" t="s">
        <v>8</v>
      </c>
    </row>
    <row r="310" spans="1:4" hidden="1">
      <c r="A310" s="30"/>
      <c r="B310" s="60"/>
      <c r="C310" s="60"/>
      <c r="D310" s="60"/>
    </row>
    <row r="311" spans="1:4" ht="15.75" hidden="1" thickBot="1">
      <c r="A311" s="30"/>
      <c r="B311" s="61"/>
      <c r="C311" s="61"/>
      <c r="D311" s="61"/>
    </row>
    <row r="312" spans="1:4" ht="15.75" hidden="1" thickBot="1">
      <c r="A312" s="30" t="str">
        <f t="shared" ref="A312:A375" si="58">A7</f>
        <v/>
      </c>
      <c r="B312" s="37" t="str">
        <f>IFERROR(INDEX($B$7:$D$98,MATCH(INDEX($A$112:$A$203,MATCH(SMALL($R$112:$R$203,$A312),$R$112:$R$203,0)),$A$7:$A$98,0),1),"")</f>
        <v/>
      </c>
      <c r="C312" s="38" t="str">
        <f>IFERROR(INDEX($B$7:$D$98,MATCH(INDEX($A$112:$A$203,MATCH(SMALL($R$112:$R$203,$A312),$R$112:$R$203,0)),$A$7:$A$98,0),2),"")</f>
        <v/>
      </c>
      <c r="D312" s="38" t="str">
        <f>IFERROR(INDEX($B$7:$D$98,MATCH(INDEX($A$112:$A$203,MATCH(SMALL($R$112:$R$203,$A312),$R$112:$R$203,0)),$A$7:$A$98,0),3),"")</f>
        <v/>
      </c>
    </row>
    <row r="313" spans="1:4" ht="15.75" hidden="1" thickBot="1">
      <c r="A313" s="30" t="str">
        <f t="shared" si="58"/>
        <v/>
      </c>
      <c r="B313" s="37" t="str">
        <f t="shared" ref="B313:B376" si="59">IFERROR(INDEX($B$7:$D$98,MATCH(INDEX($A$112:$A$203,MATCH(SMALL($R$112:$R$203,$A313),$R$112:$R$203,0)),$A$7:$A$98,0),1),"")</f>
        <v/>
      </c>
      <c r="C313" s="38" t="str">
        <f t="shared" ref="C313:C376" si="60">IFERROR(INDEX($B$7:$D$98,MATCH(INDEX($A$112:$A$203,MATCH(SMALL($R$112:$R$203,$A313),$R$112:$R$203,0)),$A$7:$A$98,0),2),"")</f>
        <v/>
      </c>
      <c r="D313" s="38" t="str">
        <f t="shared" ref="D313:D376" si="61">IFERROR(INDEX($B$7:$D$98,MATCH(INDEX($A$112:$A$203,MATCH(SMALL($R$112:$R$203,$A313),$R$112:$R$203,0)),$A$7:$A$98,0),3),"")</f>
        <v/>
      </c>
    </row>
    <row r="314" spans="1:4" ht="15.75" hidden="1" thickBot="1">
      <c r="A314" s="30" t="str">
        <f t="shared" si="58"/>
        <v/>
      </c>
      <c r="B314" s="37" t="str">
        <f t="shared" si="59"/>
        <v/>
      </c>
      <c r="C314" s="38" t="str">
        <f t="shared" si="60"/>
        <v/>
      </c>
      <c r="D314" s="38" t="str">
        <f t="shared" si="61"/>
        <v/>
      </c>
    </row>
    <row r="315" spans="1:4" ht="15.75" hidden="1" thickBot="1">
      <c r="A315" s="30" t="str">
        <f t="shared" si="58"/>
        <v/>
      </c>
      <c r="B315" s="37" t="str">
        <f t="shared" si="59"/>
        <v/>
      </c>
      <c r="C315" s="38" t="str">
        <f t="shared" si="60"/>
        <v/>
      </c>
      <c r="D315" s="38" t="str">
        <f t="shared" si="61"/>
        <v/>
      </c>
    </row>
    <row r="316" spans="1:4" ht="15.75" hidden="1" thickBot="1">
      <c r="A316" s="30" t="str">
        <f t="shared" si="58"/>
        <v/>
      </c>
      <c r="B316" s="37" t="str">
        <f t="shared" si="59"/>
        <v/>
      </c>
      <c r="C316" s="38" t="str">
        <f t="shared" si="60"/>
        <v/>
      </c>
      <c r="D316" s="38" t="str">
        <f t="shared" si="61"/>
        <v/>
      </c>
    </row>
    <row r="317" spans="1:4" ht="15.75" hidden="1" thickBot="1">
      <c r="A317" s="30" t="str">
        <f t="shared" si="58"/>
        <v/>
      </c>
      <c r="B317" s="37" t="str">
        <f t="shared" si="59"/>
        <v/>
      </c>
      <c r="C317" s="38" t="str">
        <f t="shared" si="60"/>
        <v/>
      </c>
      <c r="D317" s="38" t="str">
        <f t="shared" si="61"/>
        <v/>
      </c>
    </row>
    <row r="318" spans="1:4" ht="15.75" hidden="1" thickBot="1">
      <c r="A318" s="30" t="str">
        <f t="shared" si="58"/>
        <v/>
      </c>
      <c r="B318" s="37" t="str">
        <f t="shared" si="59"/>
        <v/>
      </c>
      <c r="C318" s="38" t="str">
        <f t="shared" si="60"/>
        <v/>
      </c>
      <c r="D318" s="38" t="str">
        <f t="shared" si="61"/>
        <v/>
      </c>
    </row>
    <row r="319" spans="1:4" ht="15.75" hidden="1" thickBot="1">
      <c r="A319" s="30" t="str">
        <f t="shared" si="58"/>
        <v/>
      </c>
      <c r="B319" s="37" t="str">
        <f t="shared" si="59"/>
        <v/>
      </c>
      <c r="C319" s="38" t="str">
        <f t="shared" si="60"/>
        <v/>
      </c>
      <c r="D319" s="38" t="str">
        <f t="shared" si="61"/>
        <v/>
      </c>
    </row>
    <row r="320" spans="1:4" ht="15.75" hidden="1" thickBot="1">
      <c r="A320" s="30" t="str">
        <f t="shared" si="58"/>
        <v/>
      </c>
      <c r="B320" s="37" t="str">
        <f t="shared" si="59"/>
        <v/>
      </c>
      <c r="C320" s="38" t="str">
        <f t="shared" si="60"/>
        <v/>
      </c>
      <c r="D320" s="38" t="str">
        <f t="shared" si="61"/>
        <v/>
      </c>
    </row>
    <row r="321" spans="1:4" ht="15.75" hidden="1" thickBot="1">
      <c r="A321" s="30" t="str">
        <f t="shared" si="58"/>
        <v/>
      </c>
      <c r="B321" s="37" t="str">
        <f t="shared" si="59"/>
        <v/>
      </c>
      <c r="C321" s="38" t="str">
        <f t="shared" si="60"/>
        <v/>
      </c>
      <c r="D321" s="38" t="str">
        <f t="shared" si="61"/>
        <v/>
      </c>
    </row>
    <row r="322" spans="1:4" ht="15.75" hidden="1" thickBot="1">
      <c r="A322" s="30" t="str">
        <f t="shared" si="58"/>
        <v/>
      </c>
      <c r="B322" s="37" t="str">
        <f t="shared" si="59"/>
        <v/>
      </c>
      <c r="C322" s="38" t="str">
        <f t="shared" si="60"/>
        <v/>
      </c>
      <c r="D322" s="38" t="str">
        <f t="shared" si="61"/>
        <v/>
      </c>
    </row>
    <row r="323" spans="1:4" ht="15.75" hidden="1" thickBot="1">
      <c r="A323" s="30" t="str">
        <f t="shared" si="58"/>
        <v/>
      </c>
      <c r="B323" s="37" t="str">
        <f t="shared" si="59"/>
        <v/>
      </c>
      <c r="C323" s="38" t="str">
        <f t="shared" si="60"/>
        <v/>
      </c>
      <c r="D323" s="38" t="str">
        <f t="shared" si="61"/>
        <v/>
      </c>
    </row>
    <row r="324" spans="1:4" ht="15.75" hidden="1" thickBot="1">
      <c r="A324" s="30" t="str">
        <f t="shared" si="58"/>
        <v/>
      </c>
      <c r="B324" s="37" t="str">
        <f t="shared" si="59"/>
        <v/>
      </c>
      <c r="C324" s="38" t="str">
        <f t="shared" si="60"/>
        <v/>
      </c>
      <c r="D324" s="38" t="str">
        <f t="shared" si="61"/>
        <v/>
      </c>
    </row>
    <row r="325" spans="1:4" ht="15.75" hidden="1" thickBot="1">
      <c r="A325" s="30" t="str">
        <f t="shared" si="58"/>
        <v/>
      </c>
      <c r="B325" s="37" t="str">
        <f t="shared" si="59"/>
        <v/>
      </c>
      <c r="C325" s="38" t="str">
        <f t="shared" si="60"/>
        <v/>
      </c>
      <c r="D325" s="38" t="str">
        <f t="shared" si="61"/>
        <v/>
      </c>
    </row>
    <row r="326" spans="1:4" ht="15.75" hidden="1" thickBot="1">
      <c r="A326" s="30" t="str">
        <f t="shared" si="58"/>
        <v/>
      </c>
      <c r="B326" s="37" t="str">
        <f t="shared" si="59"/>
        <v/>
      </c>
      <c r="C326" s="38" t="str">
        <f t="shared" si="60"/>
        <v/>
      </c>
      <c r="D326" s="38" t="str">
        <f t="shared" si="61"/>
        <v/>
      </c>
    </row>
    <row r="327" spans="1:4" ht="15.75" hidden="1" thickBot="1">
      <c r="A327" s="30" t="str">
        <f t="shared" si="58"/>
        <v/>
      </c>
      <c r="B327" s="37" t="str">
        <f t="shared" si="59"/>
        <v/>
      </c>
      <c r="C327" s="38" t="str">
        <f t="shared" si="60"/>
        <v/>
      </c>
      <c r="D327" s="38" t="str">
        <f t="shared" si="61"/>
        <v/>
      </c>
    </row>
    <row r="328" spans="1:4" ht="15.75" hidden="1" thickBot="1">
      <c r="A328" s="30" t="str">
        <f t="shared" si="58"/>
        <v/>
      </c>
      <c r="B328" s="37" t="str">
        <f t="shared" si="59"/>
        <v/>
      </c>
      <c r="C328" s="38" t="str">
        <f t="shared" si="60"/>
        <v/>
      </c>
      <c r="D328" s="38" t="str">
        <f t="shared" si="61"/>
        <v/>
      </c>
    </row>
    <row r="329" spans="1:4" ht="15.75" hidden="1" thickBot="1">
      <c r="A329" s="30" t="str">
        <f t="shared" si="58"/>
        <v/>
      </c>
      <c r="B329" s="37" t="str">
        <f t="shared" si="59"/>
        <v/>
      </c>
      <c r="C329" s="38" t="str">
        <f t="shared" si="60"/>
        <v/>
      </c>
      <c r="D329" s="38" t="str">
        <f t="shared" si="61"/>
        <v/>
      </c>
    </row>
    <row r="330" spans="1:4" ht="15.75" hidden="1" thickBot="1">
      <c r="A330" s="30" t="str">
        <f t="shared" si="58"/>
        <v/>
      </c>
      <c r="B330" s="37" t="str">
        <f t="shared" si="59"/>
        <v/>
      </c>
      <c r="C330" s="38" t="str">
        <f t="shared" si="60"/>
        <v/>
      </c>
      <c r="D330" s="38" t="str">
        <f t="shared" si="61"/>
        <v/>
      </c>
    </row>
    <row r="331" spans="1:4" ht="15.75" hidden="1" thickBot="1">
      <c r="A331" s="30" t="str">
        <f t="shared" si="58"/>
        <v/>
      </c>
      <c r="B331" s="37" t="str">
        <f t="shared" si="59"/>
        <v/>
      </c>
      <c r="C331" s="38" t="str">
        <f t="shared" si="60"/>
        <v/>
      </c>
      <c r="D331" s="38" t="str">
        <f t="shared" si="61"/>
        <v/>
      </c>
    </row>
    <row r="332" spans="1:4" ht="15.75" hidden="1" thickBot="1">
      <c r="A332" s="30" t="str">
        <f t="shared" si="58"/>
        <v/>
      </c>
      <c r="B332" s="37" t="str">
        <f t="shared" si="59"/>
        <v/>
      </c>
      <c r="C332" s="38" t="str">
        <f t="shared" si="60"/>
        <v/>
      </c>
      <c r="D332" s="38" t="str">
        <f t="shared" si="61"/>
        <v/>
      </c>
    </row>
    <row r="333" spans="1:4" ht="15.75" hidden="1" thickBot="1">
      <c r="A333" s="30" t="str">
        <f t="shared" si="58"/>
        <v/>
      </c>
      <c r="B333" s="37" t="str">
        <f t="shared" si="59"/>
        <v/>
      </c>
      <c r="C333" s="38" t="str">
        <f t="shared" si="60"/>
        <v/>
      </c>
      <c r="D333" s="38" t="str">
        <f t="shared" si="61"/>
        <v/>
      </c>
    </row>
    <row r="334" spans="1:4" ht="15.75" hidden="1" thickBot="1">
      <c r="A334" s="30" t="str">
        <f t="shared" si="58"/>
        <v/>
      </c>
      <c r="B334" s="37" t="str">
        <f t="shared" si="59"/>
        <v/>
      </c>
      <c r="C334" s="38" t="str">
        <f t="shared" si="60"/>
        <v/>
      </c>
      <c r="D334" s="38" t="str">
        <f t="shared" si="61"/>
        <v/>
      </c>
    </row>
    <row r="335" spans="1:4" ht="15.75" hidden="1" thickBot="1">
      <c r="A335" s="30" t="str">
        <f t="shared" si="58"/>
        <v/>
      </c>
      <c r="B335" s="37" t="str">
        <f t="shared" si="59"/>
        <v/>
      </c>
      <c r="C335" s="38" t="str">
        <f t="shared" si="60"/>
        <v/>
      </c>
      <c r="D335" s="38" t="str">
        <f t="shared" si="61"/>
        <v/>
      </c>
    </row>
    <row r="336" spans="1:4" ht="15.75" hidden="1" thickBot="1">
      <c r="A336" s="30" t="str">
        <f t="shared" si="58"/>
        <v/>
      </c>
      <c r="B336" s="37" t="str">
        <f t="shared" si="59"/>
        <v/>
      </c>
      <c r="C336" s="38" t="str">
        <f t="shared" si="60"/>
        <v/>
      </c>
      <c r="D336" s="38" t="str">
        <f t="shared" si="61"/>
        <v/>
      </c>
    </row>
    <row r="337" spans="1:4" ht="15.75" hidden="1" thickBot="1">
      <c r="A337" s="30" t="str">
        <f t="shared" si="58"/>
        <v/>
      </c>
      <c r="B337" s="37" t="str">
        <f t="shared" si="59"/>
        <v/>
      </c>
      <c r="C337" s="38" t="str">
        <f t="shared" si="60"/>
        <v/>
      </c>
      <c r="D337" s="38" t="str">
        <f t="shared" si="61"/>
        <v/>
      </c>
    </row>
    <row r="338" spans="1:4" ht="15.75" hidden="1" thickBot="1">
      <c r="A338" s="30" t="str">
        <f t="shared" si="58"/>
        <v/>
      </c>
      <c r="B338" s="37" t="str">
        <f t="shared" si="59"/>
        <v/>
      </c>
      <c r="C338" s="38" t="str">
        <f t="shared" si="60"/>
        <v/>
      </c>
      <c r="D338" s="38" t="str">
        <f t="shared" si="61"/>
        <v/>
      </c>
    </row>
    <row r="339" spans="1:4" ht="15.75" hidden="1" thickBot="1">
      <c r="A339" s="30" t="str">
        <f t="shared" si="58"/>
        <v/>
      </c>
      <c r="B339" s="37" t="str">
        <f t="shared" si="59"/>
        <v/>
      </c>
      <c r="C339" s="38" t="str">
        <f t="shared" si="60"/>
        <v/>
      </c>
      <c r="D339" s="38" t="str">
        <f t="shared" si="61"/>
        <v/>
      </c>
    </row>
    <row r="340" spans="1:4" ht="15.75" hidden="1" thickBot="1">
      <c r="A340" s="30" t="str">
        <f t="shared" si="58"/>
        <v/>
      </c>
      <c r="B340" s="37" t="str">
        <f t="shared" si="59"/>
        <v/>
      </c>
      <c r="C340" s="38" t="str">
        <f t="shared" si="60"/>
        <v/>
      </c>
      <c r="D340" s="38" t="str">
        <f t="shared" si="61"/>
        <v/>
      </c>
    </row>
    <row r="341" spans="1:4" ht="15.75" hidden="1" thickBot="1">
      <c r="A341" s="30" t="str">
        <f t="shared" si="58"/>
        <v/>
      </c>
      <c r="B341" s="37" t="str">
        <f t="shared" si="59"/>
        <v/>
      </c>
      <c r="C341" s="38" t="str">
        <f t="shared" si="60"/>
        <v/>
      </c>
      <c r="D341" s="38" t="str">
        <f t="shared" si="61"/>
        <v/>
      </c>
    </row>
    <row r="342" spans="1:4" ht="15.75" hidden="1" thickBot="1">
      <c r="A342" s="30" t="str">
        <f t="shared" si="58"/>
        <v/>
      </c>
      <c r="B342" s="37" t="str">
        <f t="shared" si="59"/>
        <v/>
      </c>
      <c r="C342" s="38" t="str">
        <f t="shared" si="60"/>
        <v/>
      </c>
      <c r="D342" s="38" t="str">
        <f t="shared" si="61"/>
        <v/>
      </c>
    </row>
    <row r="343" spans="1:4" ht="15.75" hidden="1" thickBot="1">
      <c r="A343" s="30" t="str">
        <f t="shared" si="58"/>
        <v/>
      </c>
      <c r="B343" s="37" t="str">
        <f t="shared" si="59"/>
        <v/>
      </c>
      <c r="C343" s="38" t="str">
        <f t="shared" si="60"/>
        <v/>
      </c>
      <c r="D343" s="38" t="str">
        <f t="shared" si="61"/>
        <v/>
      </c>
    </row>
    <row r="344" spans="1:4" ht="15.75" hidden="1" thickBot="1">
      <c r="A344" s="30" t="str">
        <f t="shared" si="58"/>
        <v/>
      </c>
      <c r="B344" s="37" t="str">
        <f t="shared" si="59"/>
        <v/>
      </c>
      <c r="C344" s="38" t="str">
        <f t="shared" si="60"/>
        <v/>
      </c>
      <c r="D344" s="38" t="str">
        <f t="shared" si="61"/>
        <v/>
      </c>
    </row>
    <row r="345" spans="1:4" ht="15.75" hidden="1" thickBot="1">
      <c r="A345" s="30" t="str">
        <f t="shared" si="58"/>
        <v/>
      </c>
      <c r="B345" s="37" t="str">
        <f t="shared" si="59"/>
        <v/>
      </c>
      <c r="C345" s="38" t="str">
        <f t="shared" si="60"/>
        <v/>
      </c>
      <c r="D345" s="38" t="str">
        <f t="shared" si="61"/>
        <v/>
      </c>
    </row>
    <row r="346" spans="1:4" ht="15.75" hidden="1" thickBot="1">
      <c r="A346" s="30" t="str">
        <f t="shared" si="58"/>
        <v/>
      </c>
      <c r="B346" s="37" t="str">
        <f t="shared" si="59"/>
        <v/>
      </c>
      <c r="C346" s="38" t="str">
        <f t="shared" si="60"/>
        <v/>
      </c>
      <c r="D346" s="38" t="str">
        <f t="shared" si="61"/>
        <v/>
      </c>
    </row>
    <row r="347" spans="1:4" ht="15.75" hidden="1" thickBot="1">
      <c r="A347" s="30" t="str">
        <f t="shared" si="58"/>
        <v/>
      </c>
      <c r="B347" s="37" t="str">
        <f t="shared" si="59"/>
        <v/>
      </c>
      <c r="C347" s="38" t="str">
        <f t="shared" si="60"/>
        <v/>
      </c>
      <c r="D347" s="38" t="str">
        <f t="shared" si="61"/>
        <v/>
      </c>
    </row>
    <row r="348" spans="1:4" ht="15.75" hidden="1" thickBot="1">
      <c r="A348" s="30" t="str">
        <f t="shared" si="58"/>
        <v/>
      </c>
      <c r="B348" s="37" t="str">
        <f t="shared" si="59"/>
        <v/>
      </c>
      <c r="C348" s="38" t="str">
        <f t="shared" si="60"/>
        <v/>
      </c>
      <c r="D348" s="38" t="str">
        <f t="shared" si="61"/>
        <v/>
      </c>
    </row>
    <row r="349" spans="1:4" ht="15.75" hidden="1" thickBot="1">
      <c r="A349" s="30" t="str">
        <f t="shared" si="58"/>
        <v/>
      </c>
      <c r="B349" s="37" t="str">
        <f t="shared" si="59"/>
        <v/>
      </c>
      <c r="C349" s="38" t="str">
        <f t="shared" si="60"/>
        <v/>
      </c>
      <c r="D349" s="38" t="str">
        <f t="shared" si="61"/>
        <v/>
      </c>
    </row>
    <row r="350" spans="1:4" ht="15.75" hidden="1" thickBot="1">
      <c r="A350" s="30" t="str">
        <f t="shared" si="58"/>
        <v/>
      </c>
      <c r="B350" s="37" t="str">
        <f t="shared" si="59"/>
        <v/>
      </c>
      <c r="C350" s="38" t="str">
        <f t="shared" si="60"/>
        <v/>
      </c>
      <c r="D350" s="38" t="str">
        <f t="shared" si="61"/>
        <v/>
      </c>
    </row>
    <row r="351" spans="1:4" ht="15.75" hidden="1" thickBot="1">
      <c r="A351" s="30" t="str">
        <f t="shared" si="58"/>
        <v/>
      </c>
      <c r="B351" s="37" t="str">
        <f t="shared" si="59"/>
        <v/>
      </c>
      <c r="C351" s="38" t="str">
        <f t="shared" si="60"/>
        <v/>
      </c>
      <c r="D351" s="38" t="str">
        <f t="shared" si="61"/>
        <v/>
      </c>
    </row>
    <row r="352" spans="1:4" ht="15.75" hidden="1" thickBot="1">
      <c r="A352" s="30" t="str">
        <f t="shared" si="58"/>
        <v/>
      </c>
      <c r="B352" s="37" t="str">
        <f t="shared" si="59"/>
        <v/>
      </c>
      <c r="C352" s="38" t="str">
        <f t="shared" si="60"/>
        <v/>
      </c>
      <c r="D352" s="38" t="str">
        <f t="shared" si="61"/>
        <v/>
      </c>
    </row>
    <row r="353" spans="1:4" ht="15.75" hidden="1" thickBot="1">
      <c r="A353" s="30" t="str">
        <f t="shared" si="58"/>
        <v/>
      </c>
      <c r="B353" s="37" t="str">
        <f t="shared" si="59"/>
        <v/>
      </c>
      <c r="C353" s="38" t="str">
        <f t="shared" si="60"/>
        <v/>
      </c>
      <c r="D353" s="38" t="str">
        <f t="shared" si="61"/>
        <v/>
      </c>
    </row>
    <row r="354" spans="1:4" ht="15.75" hidden="1" thickBot="1">
      <c r="A354" s="30" t="str">
        <f t="shared" si="58"/>
        <v/>
      </c>
      <c r="B354" s="37" t="str">
        <f t="shared" si="59"/>
        <v/>
      </c>
      <c r="C354" s="38" t="str">
        <f t="shared" si="60"/>
        <v/>
      </c>
      <c r="D354" s="38" t="str">
        <f t="shared" si="61"/>
        <v/>
      </c>
    </row>
    <row r="355" spans="1:4" ht="15.75" hidden="1" thickBot="1">
      <c r="A355" s="30" t="str">
        <f t="shared" si="58"/>
        <v/>
      </c>
      <c r="B355" s="37" t="str">
        <f t="shared" si="59"/>
        <v/>
      </c>
      <c r="C355" s="38" t="str">
        <f t="shared" si="60"/>
        <v/>
      </c>
      <c r="D355" s="38" t="str">
        <f t="shared" si="61"/>
        <v/>
      </c>
    </row>
    <row r="356" spans="1:4" ht="15.75" hidden="1" thickBot="1">
      <c r="A356" s="30" t="str">
        <f t="shared" si="58"/>
        <v/>
      </c>
      <c r="B356" s="37" t="str">
        <f t="shared" si="59"/>
        <v/>
      </c>
      <c r="C356" s="38" t="str">
        <f t="shared" si="60"/>
        <v/>
      </c>
      <c r="D356" s="38" t="str">
        <f t="shared" si="61"/>
        <v/>
      </c>
    </row>
    <row r="357" spans="1:4" ht="15.75" hidden="1" thickBot="1">
      <c r="A357" s="30" t="str">
        <f t="shared" si="58"/>
        <v/>
      </c>
      <c r="B357" s="37" t="str">
        <f t="shared" si="59"/>
        <v/>
      </c>
      <c r="C357" s="38" t="str">
        <f t="shared" si="60"/>
        <v/>
      </c>
      <c r="D357" s="38" t="str">
        <f t="shared" si="61"/>
        <v/>
      </c>
    </row>
    <row r="358" spans="1:4" ht="15.75" hidden="1" thickBot="1">
      <c r="A358" s="30" t="str">
        <f t="shared" si="58"/>
        <v/>
      </c>
      <c r="B358" s="37" t="str">
        <f t="shared" si="59"/>
        <v/>
      </c>
      <c r="C358" s="38" t="str">
        <f t="shared" si="60"/>
        <v/>
      </c>
      <c r="D358" s="38" t="str">
        <f t="shared" si="61"/>
        <v/>
      </c>
    </row>
    <row r="359" spans="1:4" ht="15.75" hidden="1" thickBot="1">
      <c r="A359" s="30" t="str">
        <f t="shared" si="58"/>
        <v/>
      </c>
      <c r="B359" s="37" t="str">
        <f t="shared" si="59"/>
        <v/>
      </c>
      <c r="C359" s="38" t="str">
        <f t="shared" si="60"/>
        <v/>
      </c>
      <c r="D359" s="38" t="str">
        <f t="shared" si="61"/>
        <v/>
      </c>
    </row>
    <row r="360" spans="1:4" ht="15.75" hidden="1" thickBot="1">
      <c r="A360" s="30" t="str">
        <f t="shared" si="58"/>
        <v/>
      </c>
      <c r="B360" s="37" t="str">
        <f t="shared" si="59"/>
        <v/>
      </c>
      <c r="C360" s="38" t="str">
        <f t="shared" si="60"/>
        <v/>
      </c>
      <c r="D360" s="38" t="str">
        <f t="shared" si="61"/>
        <v/>
      </c>
    </row>
    <row r="361" spans="1:4" ht="15.75" hidden="1" thickBot="1">
      <c r="A361" s="30" t="str">
        <f t="shared" si="58"/>
        <v/>
      </c>
      <c r="B361" s="37" t="str">
        <f t="shared" si="59"/>
        <v/>
      </c>
      <c r="C361" s="38" t="str">
        <f t="shared" si="60"/>
        <v/>
      </c>
      <c r="D361" s="38" t="str">
        <f t="shared" si="61"/>
        <v/>
      </c>
    </row>
    <row r="362" spans="1:4" ht="15.75" hidden="1" thickBot="1">
      <c r="A362" s="30" t="str">
        <f t="shared" si="58"/>
        <v/>
      </c>
      <c r="B362" s="37" t="str">
        <f t="shared" si="59"/>
        <v/>
      </c>
      <c r="C362" s="38" t="str">
        <f t="shared" si="60"/>
        <v/>
      </c>
      <c r="D362" s="38" t="str">
        <f t="shared" si="61"/>
        <v/>
      </c>
    </row>
    <row r="363" spans="1:4" ht="15.75" hidden="1" thickBot="1">
      <c r="A363" s="30" t="str">
        <f t="shared" si="58"/>
        <v/>
      </c>
      <c r="B363" s="37" t="str">
        <f t="shared" si="59"/>
        <v/>
      </c>
      <c r="C363" s="38" t="str">
        <f t="shared" si="60"/>
        <v/>
      </c>
      <c r="D363" s="38" t="str">
        <f t="shared" si="61"/>
        <v/>
      </c>
    </row>
    <row r="364" spans="1:4" ht="15.75" hidden="1" thickBot="1">
      <c r="A364" s="30" t="str">
        <f t="shared" si="58"/>
        <v/>
      </c>
      <c r="B364" s="37" t="str">
        <f t="shared" si="59"/>
        <v/>
      </c>
      <c r="C364" s="38" t="str">
        <f t="shared" si="60"/>
        <v/>
      </c>
      <c r="D364" s="38" t="str">
        <f t="shared" si="61"/>
        <v/>
      </c>
    </row>
    <row r="365" spans="1:4" ht="15.75" hidden="1" thickBot="1">
      <c r="A365" s="30" t="str">
        <f t="shared" si="58"/>
        <v/>
      </c>
      <c r="B365" s="37" t="str">
        <f t="shared" si="59"/>
        <v/>
      </c>
      <c r="C365" s="38" t="str">
        <f t="shared" si="60"/>
        <v/>
      </c>
      <c r="D365" s="38" t="str">
        <f t="shared" si="61"/>
        <v/>
      </c>
    </row>
    <row r="366" spans="1:4" ht="15.75" hidden="1" thickBot="1">
      <c r="A366" s="30" t="str">
        <f t="shared" si="58"/>
        <v/>
      </c>
      <c r="B366" s="37" t="str">
        <f t="shared" si="59"/>
        <v/>
      </c>
      <c r="C366" s="38" t="str">
        <f t="shared" si="60"/>
        <v/>
      </c>
      <c r="D366" s="38" t="str">
        <f t="shared" si="61"/>
        <v/>
      </c>
    </row>
    <row r="367" spans="1:4" ht="15.75" hidden="1" thickBot="1">
      <c r="A367" s="30" t="str">
        <f t="shared" si="58"/>
        <v/>
      </c>
      <c r="B367" s="37" t="str">
        <f t="shared" si="59"/>
        <v/>
      </c>
      <c r="C367" s="38" t="str">
        <f t="shared" si="60"/>
        <v/>
      </c>
      <c r="D367" s="38" t="str">
        <f t="shared" si="61"/>
        <v/>
      </c>
    </row>
    <row r="368" spans="1:4" ht="15.75" hidden="1" thickBot="1">
      <c r="A368" s="30" t="str">
        <f t="shared" si="58"/>
        <v/>
      </c>
      <c r="B368" s="37" t="str">
        <f t="shared" si="59"/>
        <v/>
      </c>
      <c r="C368" s="38" t="str">
        <f t="shared" si="60"/>
        <v/>
      </c>
      <c r="D368" s="38" t="str">
        <f t="shared" si="61"/>
        <v/>
      </c>
    </row>
    <row r="369" spans="1:4" ht="15.75" hidden="1" thickBot="1">
      <c r="A369" s="30" t="str">
        <f t="shared" si="58"/>
        <v/>
      </c>
      <c r="B369" s="37" t="str">
        <f t="shared" si="59"/>
        <v/>
      </c>
      <c r="C369" s="38" t="str">
        <f t="shared" si="60"/>
        <v/>
      </c>
      <c r="D369" s="38" t="str">
        <f t="shared" si="61"/>
        <v/>
      </c>
    </row>
    <row r="370" spans="1:4" ht="15.75" hidden="1" thickBot="1">
      <c r="A370" s="30" t="str">
        <f t="shared" si="58"/>
        <v/>
      </c>
      <c r="B370" s="37" t="str">
        <f t="shared" si="59"/>
        <v/>
      </c>
      <c r="C370" s="38" t="str">
        <f t="shared" si="60"/>
        <v/>
      </c>
      <c r="D370" s="38" t="str">
        <f t="shared" si="61"/>
        <v/>
      </c>
    </row>
    <row r="371" spans="1:4" ht="15.75" hidden="1" thickBot="1">
      <c r="A371" s="30" t="str">
        <f t="shared" si="58"/>
        <v/>
      </c>
      <c r="B371" s="37" t="str">
        <f t="shared" si="59"/>
        <v/>
      </c>
      <c r="C371" s="38" t="str">
        <f t="shared" si="60"/>
        <v/>
      </c>
      <c r="D371" s="38" t="str">
        <f t="shared" si="61"/>
        <v/>
      </c>
    </row>
    <row r="372" spans="1:4" ht="15.75" hidden="1" thickBot="1">
      <c r="A372" s="30" t="str">
        <f t="shared" si="58"/>
        <v/>
      </c>
      <c r="B372" s="37" t="str">
        <f t="shared" si="59"/>
        <v/>
      </c>
      <c r="C372" s="38" t="str">
        <f t="shared" si="60"/>
        <v/>
      </c>
      <c r="D372" s="38" t="str">
        <f t="shared" si="61"/>
        <v/>
      </c>
    </row>
    <row r="373" spans="1:4" ht="15.75" hidden="1" thickBot="1">
      <c r="A373" s="30" t="str">
        <f t="shared" si="58"/>
        <v/>
      </c>
      <c r="B373" s="37" t="str">
        <f t="shared" si="59"/>
        <v/>
      </c>
      <c r="C373" s="38" t="str">
        <f t="shared" si="60"/>
        <v/>
      </c>
      <c r="D373" s="38" t="str">
        <f t="shared" si="61"/>
        <v/>
      </c>
    </row>
    <row r="374" spans="1:4" ht="15.75" hidden="1" thickBot="1">
      <c r="A374" s="30" t="str">
        <f t="shared" si="58"/>
        <v/>
      </c>
      <c r="B374" s="37" t="str">
        <f t="shared" si="59"/>
        <v/>
      </c>
      <c r="C374" s="38" t="str">
        <f t="shared" si="60"/>
        <v/>
      </c>
      <c r="D374" s="38" t="str">
        <f t="shared" si="61"/>
        <v/>
      </c>
    </row>
    <row r="375" spans="1:4" ht="15.75" hidden="1" thickBot="1">
      <c r="A375" s="30" t="str">
        <f t="shared" si="58"/>
        <v/>
      </c>
      <c r="B375" s="37" t="str">
        <f t="shared" si="59"/>
        <v/>
      </c>
      <c r="C375" s="38" t="str">
        <f t="shared" si="60"/>
        <v/>
      </c>
      <c r="D375" s="38" t="str">
        <f t="shared" si="61"/>
        <v/>
      </c>
    </row>
    <row r="376" spans="1:4" ht="15.75" hidden="1" thickBot="1">
      <c r="A376" s="30" t="str">
        <f t="shared" ref="A376:A402" si="62">A71</f>
        <v/>
      </c>
      <c r="B376" s="37" t="str">
        <f t="shared" si="59"/>
        <v/>
      </c>
      <c r="C376" s="38" t="str">
        <f t="shared" si="60"/>
        <v/>
      </c>
      <c r="D376" s="38" t="str">
        <f t="shared" si="61"/>
        <v/>
      </c>
    </row>
    <row r="377" spans="1:4" ht="15.75" hidden="1" thickBot="1">
      <c r="A377" s="30" t="str">
        <f t="shared" si="62"/>
        <v/>
      </c>
      <c r="B377" s="37" t="str">
        <f t="shared" ref="B377:B403" si="63">IFERROR(INDEX($B$7:$D$98,MATCH(INDEX($A$112:$A$203,MATCH(SMALL($R$112:$R$203,$A377),$R$112:$R$203,0)),$A$7:$A$98,0),1),"")</f>
        <v/>
      </c>
      <c r="C377" s="38" t="str">
        <f t="shared" ref="C377:C403" si="64">IFERROR(INDEX($B$7:$D$98,MATCH(INDEX($A$112:$A$203,MATCH(SMALL($R$112:$R$203,$A377),$R$112:$R$203,0)),$A$7:$A$98,0),2),"")</f>
        <v/>
      </c>
      <c r="D377" s="38" t="str">
        <f t="shared" ref="D377:D403" si="65">IFERROR(INDEX($B$7:$D$98,MATCH(INDEX($A$112:$A$203,MATCH(SMALL($R$112:$R$203,$A377),$R$112:$R$203,0)),$A$7:$A$98,0),3),"")</f>
        <v/>
      </c>
    </row>
    <row r="378" spans="1:4" ht="15.75" hidden="1" thickBot="1">
      <c r="A378" s="30" t="str">
        <f t="shared" si="62"/>
        <v/>
      </c>
      <c r="B378" s="37" t="str">
        <f t="shared" si="63"/>
        <v/>
      </c>
      <c r="C378" s="38" t="str">
        <f t="shared" si="64"/>
        <v/>
      </c>
      <c r="D378" s="38" t="str">
        <f t="shared" si="65"/>
        <v/>
      </c>
    </row>
    <row r="379" spans="1:4" ht="15.75" hidden="1" thickBot="1">
      <c r="A379" s="30" t="str">
        <f t="shared" si="62"/>
        <v/>
      </c>
      <c r="B379" s="37" t="str">
        <f t="shared" si="63"/>
        <v/>
      </c>
      <c r="C379" s="38" t="str">
        <f t="shared" si="64"/>
        <v/>
      </c>
      <c r="D379" s="38" t="str">
        <f t="shared" si="65"/>
        <v/>
      </c>
    </row>
    <row r="380" spans="1:4" ht="15.75" hidden="1" thickBot="1">
      <c r="A380" s="30" t="str">
        <f t="shared" si="62"/>
        <v/>
      </c>
      <c r="B380" s="37" t="str">
        <f t="shared" si="63"/>
        <v/>
      </c>
      <c r="C380" s="38" t="str">
        <f t="shared" si="64"/>
        <v/>
      </c>
      <c r="D380" s="38" t="str">
        <f t="shared" si="65"/>
        <v/>
      </c>
    </row>
    <row r="381" spans="1:4" ht="15.75" hidden="1" thickBot="1">
      <c r="A381" s="30" t="str">
        <f t="shared" si="62"/>
        <v/>
      </c>
      <c r="B381" s="37" t="str">
        <f t="shared" si="63"/>
        <v/>
      </c>
      <c r="C381" s="38" t="str">
        <f t="shared" si="64"/>
        <v/>
      </c>
      <c r="D381" s="38" t="str">
        <f t="shared" si="65"/>
        <v/>
      </c>
    </row>
    <row r="382" spans="1:4" ht="15.75" hidden="1" thickBot="1">
      <c r="A382" s="30" t="str">
        <f t="shared" si="62"/>
        <v/>
      </c>
      <c r="B382" s="37" t="str">
        <f t="shared" si="63"/>
        <v/>
      </c>
      <c r="C382" s="38" t="str">
        <f t="shared" si="64"/>
        <v/>
      </c>
      <c r="D382" s="38" t="str">
        <f t="shared" si="65"/>
        <v/>
      </c>
    </row>
    <row r="383" spans="1:4" ht="15.75" hidden="1" thickBot="1">
      <c r="A383" s="30" t="str">
        <f t="shared" si="62"/>
        <v/>
      </c>
      <c r="B383" s="37" t="str">
        <f t="shared" si="63"/>
        <v/>
      </c>
      <c r="C383" s="38" t="str">
        <f t="shared" si="64"/>
        <v/>
      </c>
      <c r="D383" s="38" t="str">
        <f t="shared" si="65"/>
        <v/>
      </c>
    </row>
    <row r="384" spans="1:4" ht="15.75" hidden="1" thickBot="1">
      <c r="A384" s="30" t="str">
        <f t="shared" si="62"/>
        <v/>
      </c>
      <c r="B384" s="37" t="str">
        <f t="shared" si="63"/>
        <v/>
      </c>
      <c r="C384" s="38" t="str">
        <f t="shared" si="64"/>
        <v/>
      </c>
      <c r="D384" s="38" t="str">
        <f t="shared" si="65"/>
        <v/>
      </c>
    </row>
    <row r="385" spans="1:4" ht="15.75" hidden="1" thickBot="1">
      <c r="A385" s="30" t="str">
        <f t="shared" si="62"/>
        <v/>
      </c>
      <c r="B385" s="37" t="str">
        <f t="shared" si="63"/>
        <v/>
      </c>
      <c r="C385" s="38" t="str">
        <f t="shared" si="64"/>
        <v/>
      </c>
      <c r="D385" s="38" t="str">
        <f t="shared" si="65"/>
        <v/>
      </c>
    </row>
    <row r="386" spans="1:4" ht="15.75" hidden="1" thickBot="1">
      <c r="A386" s="30" t="str">
        <f t="shared" si="62"/>
        <v/>
      </c>
      <c r="B386" s="37" t="str">
        <f t="shared" si="63"/>
        <v/>
      </c>
      <c r="C386" s="38" t="str">
        <f t="shared" si="64"/>
        <v/>
      </c>
      <c r="D386" s="38" t="str">
        <f t="shared" si="65"/>
        <v/>
      </c>
    </row>
    <row r="387" spans="1:4" ht="15.75" hidden="1" thickBot="1">
      <c r="A387" s="30" t="str">
        <f t="shared" si="62"/>
        <v/>
      </c>
      <c r="B387" s="37" t="str">
        <f t="shared" si="63"/>
        <v/>
      </c>
      <c r="C387" s="38" t="str">
        <f t="shared" si="64"/>
        <v/>
      </c>
      <c r="D387" s="38" t="str">
        <f t="shared" si="65"/>
        <v/>
      </c>
    </row>
    <row r="388" spans="1:4" ht="15.75" hidden="1" thickBot="1">
      <c r="A388" s="30" t="str">
        <f t="shared" si="62"/>
        <v/>
      </c>
      <c r="B388" s="37" t="str">
        <f t="shared" si="63"/>
        <v/>
      </c>
      <c r="C388" s="38" t="str">
        <f t="shared" si="64"/>
        <v/>
      </c>
      <c r="D388" s="38" t="str">
        <f t="shared" si="65"/>
        <v/>
      </c>
    </row>
    <row r="389" spans="1:4" ht="15.75" hidden="1" thickBot="1">
      <c r="A389" s="30" t="str">
        <f t="shared" si="62"/>
        <v/>
      </c>
      <c r="B389" s="37" t="str">
        <f t="shared" si="63"/>
        <v/>
      </c>
      <c r="C389" s="38" t="str">
        <f t="shared" si="64"/>
        <v/>
      </c>
      <c r="D389" s="38" t="str">
        <f t="shared" si="65"/>
        <v/>
      </c>
    </row>
    <row r="390" spans="1:4" ht="15.75" hidden="1" thickBot="1">
      <c r="A390" s="30" t="str">
        <f t="shared" si="62"/>
        <v/>
      </c>
      <c r="B390" s="37" t="str">
        <f t="shared" si="63"/>
        <v/>
      </c>
      <c r="C390" s="38" t="str">
        <f t="shared" si="64"/>
        <v/>
      </c>
      <c r="D390" s="38" t="str">
        <f t="shared" si="65"/>
        <v/>
      </c>
    </row>
    <row r="391" spans="1:4" ht="15.75" hidden="1" thickBot="1">
      <c r="A391" s="30" t="str">
        <f t="shared" si="62"/>
        <v/>
      </c>
      <c r="B391" s="37" t="str">
        <f t="shared" si="63"/>
        <v/>
      </c>
      <c r="C391" s="38" t="str">
        <f t="shared" si="64"/>
        <v/>
      </c>
      <c r="D391" s="38" t="str">
        <f t="shared" si="65"/>
        <v/>
      </c>
    </row>
    <row r="392" spans="1:4" ht="15.75" hidden="1" thickBot="1">
      <c r="A392" s="30" t="str">
        <f t="shared" si="62"/>
        <v/>
      </c>
      <c r="B392" s="37" t="str">
        <f t="shared" si="63"/>
        <v/>
      </c>
      <c r="C392" s="38" t="str">
        <f t="shared" si="64"/>
        <v/>
      </c>
      <c r="D392" s="38" t="str">
        <f t="shared" si="65"/>
        <v/>
      </c>
    </row>
    <row r="393" spans="1:4" ht="15.75" hidden="1" thickBot="1">
      <c r="A393" s="30" t="str">
        <f t="shared" si="62"/>
        <v/>
      </c>
      <c r="B393" s="37" t="str">
        <f t="shared" si="63"/>
        <v/>
      </c>
      <c r="C393" s="38" t="str">
        <f t="shared" si="64"/>
        <v/>
      </c>
      <c r="D393" s="38" t="str">
        <f t="shared" si="65"/>
        <v/>
      </c>
    </row>
    <row r="394" spans="1:4" ht="15.75" hidden="1" thickBot="1">
      <c r="A394" s="30" t="str">
        <f t="shared" si="62"/>
        <v/>
      </c>
      <c r="B394" s="37" t="str">
        <f t="shared" si="63"/>
        <v/>
      </c>
      <c r="C394" s="38" t="str">
        <f t="shared" si="64"/>
        <v/>
      </c>
      <c r="D394" s="38" t="str">
        <f t="shared" si="65"/>
        <v/>
      </c>
    </row>
    <row r="395" spans="1:4" ht="15.75" hidden="1" thickBot="1">
      <c r="A395" s="30" t="str">
        <f t="shared" si="62"/>
        <v/>
      </c>
      <c r="B395" s="37" t="str">
        <f t="shared" si="63"/>
        <v/>
      </c>
      <c r="C395" s="38" t="str">
        <f t="shared" si="64"/>
        <v/>
      </c>
      <c r="D395" s="38" t="str">
        <f t="shared" si="65"/>
        <v/>
      </c>
    </row>
    <row r="396" spans="1:4" ht="15.75" hidden="1" thickBot="1">
      <c r="A396" s="30" t="str">
        <f t="shared" si="62"/>
        <v/>
      </c>
      <c r="B396" s="37" t="str">
        <f t="shared" si="63"/>
        <v/>
      </c>
      <c r="C396" s="38" t="str">
        <f t="shared" si="64"/>
        <v/>
      </c>
      <c r="D396" s="38" t="str">
        <f t="shared" si="65"/>
        <v/>
      </c>
    </row>
    <row r="397" spans="1:4" ht="15.75" hidden="1" thickBot="1">
      <c r="A397" s="30" t="str">
        <f t="shared" si="62"/>
        <v/>
      </c>
      <c r="B397" s="37" t="str">
        <f t="shared" si="63"/>
        <v/>
      </c>
      <c r="C397" s="38" t="str">
        <f t="shared" si="64"/>
        <v/>
      </c>
      <c r="D397" s="38" t="str">
        <f t="shared" si="65"/>
        <v/>
      </c>
    </row>
    <row r="398" spans="1:4" ht="15.75" hidden="1" thickBot="1">
      <c r="A398" s="30" t="str">
        <f t="shared" si="62"/>
        <v/>
      </c>
      <c r="B398" s="37" t="str">
        <f t="shared" si="63"/>
        <v/>
      </c>
      <c r="C398" s="38" t="str">
        <f t="shared" si="64"/>
        <v/>
      </c>
      <c r="D398" s="38" t="str">
        <f t="shared" si="65"/>
        <v/>
      </c>
    </row>
    <row r="399" spans="1:4" ht="15.75" hidden="1" thickBot="1">
      <c r="A399" s="30" t="str">
        <f t="shared" si="62"/>
        <v/>
      </c>
      <c r="B399" s="37" t="str">
        <f t="shared" si="63"/>
        <v/>
      </c>
      <c r="C399" s="38" t="str">
        <f t="shared" si="64"/>
        <v/>
      </c>
      <c r="D399" s="38" t="str">
        <f t="shared" si="65"/>
        <v/>
      </c>
    </row>
    <row r="400" spans="1:4" ht="15.75" hidden="1" thickBot="1">
      <c r="A400" s="30" t="str">
        <f t="shared" si="62"/>
        <v/>
      </c>
      <c r="B400" s="37" t="str">
        <f t="shared" si="63"/>
        <v/>
      </c>
      <c r="C400" s="38" t="str">
        <f t="shared" si="64"/>
        <v/>
      </c>
      <c r="D400" s="38" t="str">
        <f t="shared" si="65"/>
        <v/>
      </c>
    </row>
    <row r="401" spans="1:4" ht="15.75" hidden="1" thickBot="1">
      <c r="A401" s="30" t="str">
        <f t="shared" si="62"/>
        <v/>
      </c>
      <c r="B401" s="37" t="str">
        <f t="shared" si="63"/>
        <v/>
      </c>
      <c r="C401" s="38" t="str">
        <f t="shared" si="64"/>
        <v/>
      </c>
      <c r="D401" s="38" t="str">
        <f t="shared" si="65"/>
        <v/>
      </c>
    </row>
    <row r="402" spans="1:4" ht="15.75" hidden="1" thickBot="1">
      <c r="A402" s="30" t="str">
        <f t="shared" si="62"/>
        <v/>
      </c>
      <c r="B402" s="37" t="str">
        <f t="shared" si="63"/>
        <v/>
      </c>
      <c r="C402" s="38" t="str">
        <f t="shared" si="64"/>
        <v/>
      </c>
      <c r="D402" s="38" t="str">
        <f t="shared" si="65"/>
        <v/>
      </c>
    </row>
    <row r="403" spans="1:4" ht="15.75" hidden="1" thickBot="1">
      <c r="A403" s="30" t="str">
        <f>A98</f>
        <v/>
      </c>
      <c r="B403" s="37" t="str">
        <f t="shared" si="63"/>
        <v/>
      </c>
      <c r="C403" s="38" t="str">
        <f t="shared" si="64"/>
        <v/>
      </c>
      <c r="D403" s="38" t="str">
        <f t="shared" si="65"/>
        <v/>
      </c>
    </row>
    <row r="404" spans="1:4" ht="15.75" hidden="1" thickBot="1"/>
    <row r="405" spans="1:4" ht="15.75" hidden="1" thickBot="1">
      <c r="A405" s="30"/>
      <c r="B405" s="67" t="str">
        <f>K110</f>
        <v>Empresa 3</v>
      </c>
      <c r="C405" s="107"/>
      <c r="D405" s="68"/>
    </row>
    <row r="406" spans="1:4" hidden="1">
      <c r="A406" s="30"/>
      <c r="B406" s="59" t="s">
        <v>1</v>
      </c>
      <c r="C406" s="59" t="s">
        <v>2</v>
      </c>
      <c r="D406" s="59" t="s">
        <v>8</v>
      </c>
    </row>
    <row r="407" spans="1:4" hidden="1">
      <c r="A407" s="30"/>
      <c r="B407" s="60"/>
      <c r="C407" s="60"/>
      <c r="D407" s="60"/>
    </row>
    <row r="408" spans="1:4" ht="15.75" hidden="1" thickBot="1">
      <c r="A408" s="30"/>
      <c r="B408" s="61"/>
      <c r="C408" s="61"/>
      <c r="D408" s="61"/>
    </row>
    <row r="409" spans="1:4" ht="15.75" hidden="1" thickBot="1">
      <c r="A409" s="30" t="str">
        <f t="shared" ref="A409:A472" si="66">A7</f>
        <v/>
      </c>
      <c r="B409" s="37" t="str">
        <f>IFERROR(INDEX($B$7:$D$98,MATCH(INDEX($A$112:$A$203,MATCH(SMALL($S$112:$S$203,$A409),$S$112:$S$203,0)),$A$7:$A$98,0),1),"")</f>
        <v/>
      </c>
      <c r="C409" s="38" t="str">
        <f>IFERROR(INDEX($B$7:$D$98,MATCH(INDEX($A$112:$A$203,MATCH(SMALL($S$112:$S$203,$A409),$S$112:$S$203,0)),$A$7:$A$98,0),2),"")</f>
        <v/>
      </c>
      <c r="D409" s="38" t="str">
        <f>IFERROR(INDEX($B$7:$D$98,MATCH(INDEX($A$112:$A$203,MATCH(SMALL($S$112:$S$203,$A409),$S$112:$S$203,0)),$A$7:$A$98,0),3),"")</f>
        <v/>
      </c>
    </row>
    <row r="410" spans="1:4" ht="15.75" hidden="1" thickBot="1">
      <c r="A410" s="30" t="str">
        <f t="shared" si="66"/>
        <v/>
      </c>
      <c r="B410" s="37" t="str">
        <f t="shared" ref="B410:B473" si="67">IFERROR(INDEX($B$7:$D$98,MATCH(INDEX($A$112:$A$203,MATCH(SMALL($S$112:$S$203,$A410),$S$112:$S$203,0)),$A$7:$A$98,0),1),"")</f>
        <v/>
      </c>
      <c r="C410" s="38" t="str">
        <f t="shared" ref="C410:C473" si="68">IFERROR(INDEX($B$7:$D$98,MATCH(INDEX($A$112:$A$203,MATCH(SMALL($S$112:$S$203,$A410),$S$112:$S$203,0)),$A$7:$A$98,0),2),"")</f>
        <v/>
      </c>
      <c r="D410" s="38" t="str">
        <f t="shared" ref="D410:D473" si="69">IFERROR(INDEX($B$7:$D$98,MATCH(INDEX($A$112:$A$203,MATCH(SMALL($S$112:$S$203,$A410),$S$112:$S$203,0)),$A$7:$A$98,0),3),"")</f>
        <v/>
      </c>
    </row>
    <row r="411" spans="1:4" ht="15.75" hidden="1" thickBot="1">
      <c r="A411" s="30" t="str">
        <f t="shared" si="66"/>
        <v/>
      </c>
      <c r="B411" s="37" t="str">
        <f t="shared" si="67"/>
        <v/>
      </c>
      <c r="C411" s="38" t="str">
        <f t="shared" si="68"/>
        <v/>
      </c>
      <c r="D411" s="38" t="str">
        <f t="shared" si="69"/>
        <v/>
      </c>
    </row>
    <row r="412" spans="1:4" ht="15.75" hidden="1" thickBot="1">
      <c r="A412" s="30" t="str">
        <f t="shared" si="66"/>
        <v/>
      </c>
      <c r="B412" s="37" t="str">
        <f t="shared" si="67"/>
        <v/>
      </c>
      <c r="C412" s="38" t="str">
        <f t="shared" si="68"/>
        <v/>
      </c>
      <c r="D412" s="38" t="str">
        <f t="shared" si="69"/>
        <v/>
      </c>
    </row>
    <row r="413" spans="1:4" ht="15.75" hidden="1" thickBot="1">
      <c r="A413" s="30" t="str">
        <f t="shared" si="66"/>
        <v/>
      </c>
      <c r="B413" s="37" t="str">
        <f t="shared" si="67"/>
        <v/>
      </c>
      <c r="C413" s="38" t="str">
        <f t="shared" si="68"/>
        <v/>
      </c>
      <c r="D413" s="38" t="str">
        <f t="shared" si="69"/>
        <v/>
      </c>
    </row>
    <row r="414" spans="1:4" ht="15.75" hidden="1" thickBot="1">
      <c r="A414" s="30" t="str">
        <f t="shared" si="66"/>
        <v/>
      </c>
      <c r="B414" s="37" t="str">
        <f t="shared" si="67"/>
        <v/>
      </c>
      <c r="C414" s="38" t="str">
        <f t="shared" si="68"/>
        <v/>
      </c>
      <c r="D414" s="38" t="str">
        <f t="shared" si="69"/>
        <v/>
      </c>
    </row>
    <row r="415" spans="1:4" ht="15.75" hidden="1" thickBot="1">
      <c r="A415" s="30" t="str">
        <f t="shared" si="66"/>
        <v/>
      </c>
      <c r="B415" s="37" t="str">
        <f t="shared" si="67"/>
        <v/>
      </c>
      <c r="C415" s="38" t="str">
        <f t="shared" si="68"/>
        <v/>
      </c>
      <c r="D415" s="38" t="str">
        <f t="shared" si="69"/>
        <v/>
      </c>
    </row>
    <row r="416" spans="1:4" ht="15.75" hidden="1" thickBot="1">
      <c r="A416" s="30" t="str">
        <f t="shared" si="66"/>
        <v/>
      </c>
      <c r="B416" s="37" t="str">
        <f t="shared" si="67"/>
        <v/>
      </c>
      <c r="C416" s="38" t="str">
        <f t="shared" si="68"/>
        <v/>
      </c>
      <c r="D416" s="38" t="str">
        <f t="shared" si="69"/>
        <v/>
      </c>
    </row>
    <row r="417" spans="1:4" ht="15.75" hidden="1" thickBot="1">
      <c r="A417" s="30" t="str">
        <f t="shared" si="66"/>
        <v/>
      </c>
      <c r="B417" s="37" t="str">
        <f t="shared" si="67"/>
        <v/>
      </c>
      <c r="C417" s="38" t="str">
        <f t="shared" si="68"/>
        <v/>
      </c>
      <c r="D417" s="38" t="str">
        <f t="shared" si="69"/>
        <v/>
      </c>
    </row>
    <row r="418" spans="1:4" ht="15.75" hidden="1" thickBot="1">
      <c r="A418" s="30" t="str">
        <f t="shared" si="66"/>
        <v/>
      </c>
      <c r="B418" s="37" t="str">
        <f t="shared" si="67"/>
        <v/>
      </c>
      <c r="C418" s="38" t="str">
        <f t="shared" si="68"/>
        <v/>
      </c>
      <c r="D418" s="38" t="str">
        <f t="shared" si="69"/>
        <v/>
      </c>
    </row>
    <row r="419" spans="1:4" ht="15.75" hidden="1" thickBot="1">
      <c r="A419" s="30" t="str">
        <f t="shared" si="66"/>
        <v/>
      </c>
      <c r="B419" s="37" t="str">
        <f t="shared" si="67"/>
        <v/>
      </c>
      <c r="C419" s="38" t="str">
        <f t="shared" si="68"/>
        <v/>
      </c>
      <c r="D419" s="38" t="str">
        <f t="shared" si="69"/>
        <v/>
      </c>
    </row>
    <row r="420" spans="1:4" ht="15.75" hidden="1" thickBot="1">
      <c r="A420" s="30" t="str">
        <f t="shared" si="66"/>
        <v/>
      </c>
      <c r="B420" s="37" t="str">
        <f t="shared" si="67"/>
        <v/>
      </c>
      <c r="C420" s="38" t="str">
        <f t="shared" si="68"/>
        <v/>
      </c>
      <c r="D420" s="38" t="str">
        <f t="shared" si="69"/>
        <v/>
      </c>
    </row>
    <row r="421" spans="1:4" ht="15.75" hidden="1" thickBot="1">
      <c r="A421" s="30" t="str">
        <f t="shared" si="66"/>
        <v/>
      </c>
      <c r="B421" s="37" t="str">
        <f t="shared" si="67"/>
        <v/>
      </c>
      <c r="C421" s="38" t="str">
        <f t="shared" si="68"/>
        <v/>
      </c>
      <c r="D421" s="38" t="str">
        <f t="shared" si="69"/>
        <v/>
      </c>
    </row>
    <row r="422" spans="1:4" ht="15.75" hidden="1" thickBot="1">
      <c r="A422" s="30" t="str">
        <f t="shared" si="66"/>
        <v/>
      </c>
      <c r="B422" s="37" t="str">
        <f t="shared" si="67"/>
        <v/>
      </c>
      <c r="C422" s="38" t="str">
        <f t="shared" si="68"/>
        <v/>
      </c>
      <c r="D422" s="38" t="str">
        <f t="shared" si="69"/>
        <v/>
      </c>
    </row>
    <row r="423" spans="1:4" ht="15.75" hidden="1" thickBot="1">
      <c r="A423" s="30" t="str">
        <f t="shared" si="66"/>
        <v/>
      </c>
      <c r="B423" s="37" t="str">
        <f t="shared" si="67"/>
        <v/>
      </c>
      <c r="C423" s="38" t="str">
        <f t="shared" si="68"/>
        <v/>
      </c>
      <c r="D423" s="38" t="str">
        <f t="shared" si="69"/>
        <v/>
      </c>
    </row>
    <row r="424" spans="1:4" ht="15.75" hidden="1" thickBot="1">
      <c r="A424" s="30" t="str">
        <f t="shared" si="66"/>
        <v/>
      </c>
      <c r="B424" s="37" t="str">
        <f t="shared" si="67"/>
        <v/>
      </c>
      <c r="C424" s="38" t="str">
        <f t="shared" si="68"/>
        <v/>
      </c>
      <c r="D424" s="38" t="str">
        <f t="shared" si="69"/>
        <v/>
      </c>
    </row>
    <row r="425" spans="1:4" ht="15.75" hidden="1" thickBot="1">
      <c r="A425" s="30" t="str">
        <f t="shared" si="66"/>
        <v/>
      </c>
      <c r="B425" s="37" t="str">
        <f t="shared" si="67"/>
        <v/>
      </c>
      <c r="C425" s="38" t="str">
        <f t="shared" si="68"/>
        <v/>
      </c>
      <c r="D425" s="38" t="str">
        <f t="shared" si="69"/>
        <v/>
      </c>
    </row>
    <row r="426" spans="1:4" ht="15.75" hidden="1" thickBot="1">
      <c r="A426" s="30" t="str">
        <f t="shared" si="66"/>
        <v/>
      </c>
      <c r="B426" s="37" t="str">
        <f t="shared" si="67"/>
        <v/>
      </c>
      <c r="C426" s="38" t="str">
        <f t="shared" si="68"/>
        <v/>
      </c>
      <c r="D426" s="38" t="str">
        <f t="shared" si="69"/>
        <v/>
      </c>
    </row>
    <row r="427" spans="1:4" ht="15.75" hidden="1" thickBot="1">
      <c r="A427" s="30" t="str">
        <f t="shared" si="66"/>
        <v/>
      </c>
      <c r="B427" s="37" t="str">
        <f t="shared" si="67"/>
        <v/>
      </c>
      <c r="C427" s="38" t="str">
        <f t="shared" si="68"/>
        <v/>
      </c>
      <c r="D427" s="38" t="str">
        <f t="shared" si="69"/>
        <v/>
      </c>
    </row>
    <row r="428" spans="1:4" ht="15.75" hidden="1" thickBot="1">
      <c r="A428" s="30" t="str">
        <f t="shared" si="66"/>
        <v/>
      </c>
      <c r="B428" s="37" t="str">
        <f t="shared" si="67"/>
        <v/>
      </c>
      <c r="C428" s="38" t="str">
        <f t="shared" si="68"/>
        <v/>
      </c>
      <c r="D428" s="38" t="str">
        <f t="shared" si="69"/>
        <v/>
      </c>
    </row>
    <row r="429" spans="1:4" ht="15.75" hidden="1" thickBot="1">
      <c r="A429" s="30" t="str">
        <f t="shared" si="66"/>
        <v/>
      </c>
      <c r="B429" s="37" t="str">
        <f t="shared" si="67"/>
        <v/>
      </c>
      <c r="C429" s="38" t="str">
        <f t="shared" si="68"/>
        <v/>
      </c>
      <c r="D429" s="38" t="str">
        <f t="shared" si="69"/>
        <v/>
      </c>
    </row>
    <row r="430" spans="1:4" ht="15.75" hidden="1" thickBot="1">
      <c r="A430" s="30" t="str">
        <f t="shared" si="66"/>
        <v/>
      </c>
      <c r="B430" s="37" t="str">
        <f t="shared" si="67"/>
        <v/>
      </c>
      <c r="C430" s="38" t="str">
        <f t="shared" si="68"/>
        <v/>
      </c>
      <c r="D430" s="38" t="str">
        <f t="shared" si="69"/>
        <v/>
      </c>
    </row>
    <row r="431" spans="1:4" ht="15.75" hidden="1" thickBot="1">
      <c r="A431" s="30" t="str">
        <f t="shared" si="66"/>
        <v/>
      </c>
      <c r="B431" s="37" t="str">
        <f t="shared" si="67"/>
        <v/>
      </c>
      <c r="C431" s="38" t="str">
        <f t="shared" si="68"/>
        <v/>
      </c>
      <c r="D431" s="38" t="str">
        <f t="shared" si="69"/>
        <v/>
      </c>
    </row>
    <row r="432" spans="1:4" ht="15.75" hidden="1" thickBot="1">
      <c r="A432" s="30" t="str">
        <f t="shared" si="66"/>
        <v/>
      </c>
      <c r="B432" s="37" t="str">
        <f t="shared" si="67"/>
        <v/>
      </c>
      <c r="C432" s="38" t="str">
        <f t="shared" si="68"/>
        <v/>
      </c>
      <c r="D432" s="38" t="str">
        <f t="shared" si="69"/>
        <v/>
      </c>
    </row>
    <row r="433" spans="1:4" ht="15.75" hidden="1" thickBot="1">
      <c r="A433" s="30" t="str">
        <f t="shared" si="66"/>
        <v/>
      </c>
      <c r="B433" s="37" t="str">
        <f t="shared" si="67"/>
        <v/>
      </c>
      <c r="C433" s="38" t="str">
        <f t="shared" si="68"/>
        <v/>
      </c>
      <c r="D433" s="38" t="str">
        <f t="shared" si="69"/>
        <v/>
      </c>
    </row>
    <row r="434" spans="1:4" ht="15.75" hidden="1" thickBot="1">
      <c r="A434" s="30" t="str">
        <f t="shared" si="66"/>
        <v/>
      </c>
      <c r="B434" s="37" t="str">
        <f t="shared" si="67"/>
        <v/>
      </c>
      <c r="C434" s="38" t="str">
        <f t="shared" si="68"/>
        <v/>
      </c>
      <c r="D434" s="38" t="str">
        <f t="shared" si="69"/>
        <v/>
      </c>
    </row>
    <row r="435" spans="1:4" ht="15.75" hidden="1" thickBot="1">
      <c r="A435" s="30" t="str">
        <f t="shared" si="66"/>
        <v/>
      </c>
      <c r="B435" s="37" t="str">
        <f t="shared" si="67"/>
        <v/>
      </c>
      <c r="C435" s="38" t="str">
        <f t="shared" si="68"/>
        <v/>
      </c>
      <c r="D435" s="38" t="str">
        <f t="shared" si="69"/>
        <v/>
      </c>
    </row>
    <row r="436" spans="1:4" ht="15.75" hidden="1" thickBot="1">
      <c r="A436" s="30" t="str">
        <f t="shared" si="66"/>
        <v/>
      </c>
      <c r="B436" s="37" t="str">
        <f t="shared" si="67"/>
        <v/>
      </c>
      <c r="C436" s="38" t="str">
        <f t="shared" si="68"/>
        <v/>
      </c>
      <c r="D436" s="38" t="str">
        <f t="shared" si="69"/>
        <v/>
      </c>
    </row>
    <row r="437" spans="1:4" ht="15.75" hidden="1" thickBot="1">
      <c r="A437" s="30" t="str">
        <f t="shared" si="66"/>
        <v/>
      </c>
      <c r="B437" s="37" t="str">
        <f t="shared" si="67"/>
        <v/>
      </c>
      <c r="C437" s="38" t="str">
        <f t="shared" si="68"/>
        <v/>
      </c>
      <c r="D437" s="38" t="str">
        <f t="shared" si="69"/>
        <v/>
      </c>
    </row>
    <row r="438" spans="1:4" ht="15.75" hidden="1" thickBot="1">
      <c r="A438" s="30" t="str">
        <f t="shared" si="66"/>
        <v/>
      </c>
      <c r="B438" s="37" t="str">
        <f t="shared" si="67"/>
        <v/>
      </c>
      <c r="C438" s="38" t="str">
        <f t="shared" si="68"/>
        <v/>
      </c>
      <c r="D438" s="38" t="str">
        <f t="shared" si="69"/>
        <v/>
      </c>
    </row>
    <row r="439" spans="1:4" ht="15.75" hidden="1" thickBot="1">
      <c r="A439" s="30" t="str">
        <f t="shared" si="66"/>
        <v/>
      </c>
      <c r="B439" s="37" t="str">
        <f t="shared" si="67"/>
        <v/>
      </c>
      <c r="C439" s="38" t="str">
        <f t="shared" si="68"/>
        <v/>
      </c>
      <c r="D439" s="38" t="str">
        <f t="shared" si="69"/>
        <v/>
      </c>
    </row>
    <row r="440" spans="1:4" ht="15.75" hidden="1" thickBot="1">
      <c r="A440" s="30" t="str">
        <f t="shared" si="66"/>
        <v/>
      </c>
      <c r="B440" s="37" t="str">
        <f t="shared" si="67"/>
        <v/>
      </c>
      <c r="C440" s="38" t="str">
        <f t="shared" si="68"/>
        <v/>
      </c>
      <c r="D440" s="38" t="str">
        <f t="shared" si="69"/>
        <v/>
      </c>
    </row>
    <row r="441" spans="1:4" ht="15.75" hidden="1" thickBot="1">
      <c r="A441" s="30" t="str">
        <f t="shared" si="66"/>
        <v/>
      </c>
      <c r="B441" s="37" t="str">
        <f t="shared" si="67"/>
        <v/>
      </c>
      <c r="C441" s="38" t="str">
        <f t="shared" si="68"/>
        <v/>
      </c>
      <c r="D441" s="38" t="str">
        <f t="shared" si="69"/>
        <v/>
      </c>
    </row>
    <row r="442" spans="1:4" ht="15.75" hidden="1" thickBot="1">
      <c r="A442" s="30" t="str">
        <f t="shared" si="66"/>
        <v/>
      </c>
      <c r="B442" s="37" t="str">
        <f t="shared" si="67"/>
        <v/>
      </c>
      <c r="C442" s="38" t="str">
        <f t="shared" si="68"/>
        <v/>
      </c>
      <c r="D442" s="38" t="str">
        <f t="shared" si="69"/>
        <v/>
      </c>
    </row>
    <row r="443" spans="1:4" ht="15.75" hidden="1" thickBot="1">
      <c r="A443" s="30" t="str">
        <f t="shared" si="66"/>
        <v/>
      </c>
      <c r="B443" s="37" t="str">
        <f t="shared" si="67"/>
        <v/>
      </c>
      <c r="C443" s="38" t="str">
        <f t="shared" si="68"/>
        <v/>
      </c>
      <c r="D443" s="38" t="str">
        <f t="shared" si="69"/>
        <v/>
      </c>
    </row>
    <row r="444" spans="1:4" ht="15.75" hidden="1" thickBot="1">
      <c r="A444" s="30" t="str">
        <f t="shared" si="66"/>
        <v/>
      </c>
      <c r="B444" s="37" t="str">
        <f t="shared" si="67"/>
        <v/>
      </c>
      <c r="C444" s="38" t="str">
        <f t="shared" si="68"/>
        <v/>
      </c>
      <c r="D444" s="38" t="str">
        <f t="shared" si="69"/>
        <v/>
      </c>
    </row>
    <row r="445" spans="1:4" ht="15.75" hidden="1" thickBot="1">
      <c r="A445" s="30" t="str">
        <f t="shared" si="66"/>
        <v/>
      </c>
      <c r="B445" s="37" t="str">
        <f t="shared" si="67"/>
        <v/>
      </c>
      <c r="C445" s="38" t="str">
        <f t="shared" si="68"/>
        <v/>
      </c>
      <c r="D445" s="38" t="str">
        <f t="shared" si="69"/>
        <v/>
      </c>
    </row>
    <row r="446" spans="1:4" ht="15.75" hidden="1" thickBot="1">
      <c r="A446" s="30" t="str">
        <f t="shared" si="66"/>
        <v/>
      </c>
      <c r="B446" s="37" t="str">
        <f t="shared" si="67"/>
        <v/>
      </c>
      <c r="C446" s="38" t="str">
        <f t="shared" si="68"/>
        <v/>
      </c>
      <c r="D446" s="38" t="str">
        <f t="shared" si="69"/>
        <v/>
      </c>
    </row>
    <row r="447" spans="1:4" ht="15.75" hidden="1" thickBot="1">
      <c r="A447" s="30" t="str">
        <f t="shared" si="66"/>
        <v/>
      </c>
      <c r="B447" s="37" t="str">
        <f t="shared" si="67"/>
        <v/>
      </c>
      <c r="C447" s="38" t="str">
        <f t="shared" si="68"/>
        <v/>
      </c>
      <c r="D447" s="38" t="str">
        <f t="shared" si="69"/>
        <v/>
      </c>
    </row>
    <row r="448" spans="1:4" ht="15.75" hidden="1" thickBot="1">
      <c r="A448" s="30" t="str">
        <f t="shared" si="66"/>
        <v/>
      </c>
      <c r="B448" s="37" t="str">
        <f t="shared" si="67"/>
        <v/>
      </c>
      <c r="C448" s="38" t="str">
        <f t="shared" si="68"/>
        <v/>
      </c>
      <c r="D448" s="38" t="str">
        <f t="shared" si="69"/>
        <v/>
      </c>
    </row>
    <row r="449" spans="1:4" ht="15.75" hidden="1" thickBot="1">
      <c r="A449" s="30" t="str">
        <f t="shared" si="66"/>
        <v/>
      </c>
      <c r="B449" s="37" t="str">
        <f t="shared" si="67"/>
        <v/>
      </c>
      <c r="C449" s="38" t="str">
        <f t="shared" si="68"/>
        <v/>
      </c>
      <c r="D449" s="38" t="str">
        <f t="shared" si="69"/>
        <v/>
      </c>
    </row>
    <row r="450" spans="1:4" ht="15.75" hidden="1" thickBot="1">
      <c r="A450" s="30" t="str">
        <f t="shared" si="66"/>
        <v/>
      </c>
      <c r="B450" s="37" t="str">
        <f t="shared" si="67"/>
        <v/>
      </c>
      <c r="C450" s="38" t="str">
        <f t="shared" si="68"/>
        <v/>
      </c>
      <c r="D450" s="38" t="str">
        <f t="shared" si="69"/>
        <v/>
      </c>
    </row>
    <row r="451" spans="1:4" ht="15.75" hidden="1" thickBot="1">
      <c r="A451" s="30" t="str">
        <f t="shared" si="66"/>
        <v/>
      </c>
      <c r="B451" s="37" t="str">
        <f t="shared" si="67"/>
        <v/>
      </c>
      <c r="C451" s="38" t="str">
        <f t="shared" si="68"/>
        <v/>
      </c>
      <c r="D451" s="38" t="str">
        <f t="shared" si="69"/>
        <v/>
      </c>
    </row>
    <row r="452" spans="1:4" ht="15.75" hidden="1" thickBot="1">
      <c r="A452" s="30" t="str">
        <f t="shared" si="66"/>
        <v/>
      </c>
      <c r="B452" s="37" t="str">
        <f t="shared" si="67"/>
        <v/>
      </c>
      <c r="C452" s="38" t="str">
        <f t="shared" si="68"/>
        <v/>
      </c>
      <c r="D452" s="38" t="str">
        <f t="shared" si="69"/>
        <v/>
      </c>
    </row>
    <row r="453" spans="1:4" ht="15.75" hidden="1" thickBot="1">
      <c r="A453" s="30" t="str">
        <f t="shared" si="66"/>
        <v/>
      </c>
      <c r="B453" s="37" t="str">
        <f t="shared" si="67"/>
        <v/>
      </c>
      <c r="C453" s="38" t="str">
        <f t="shared" si="68"/>
        <v/>
      </c>
      <c r="D453" s="38" t="str">
        <f t="shared" si="69"/>
        <v/>
      </c>
    </row>
    <row r="454" spans="1:4" ht="15.75" hidden="1" thickBot="1">
      <c r="A454" s="30" t="str">
        <f t="shared" si="66"/>
        <v/>
      </c>
      <c r="B454" s="37" t="str">
        <f t="shared" si="67"/>
        <v/>
      </c>
      <c r="C454" s="38" t="str">
        <f t="shared" si="68"/>
        <v/>
      </c>
      <c r="D454" s="38" t="str">
        <f t="shared" si="69"/>
        <v/>
      </c>
    </row>
    <row r="455" spans="1:4" ht="15.75" hidden="1" thickBot="1">
      <c r="A455" s="30" t="str">
        <f t="shared" si="66"/>
        <v/>
      </c>
      <c r="B455" s="37" t="str">
        <f t="shared" si="67"/>
        <v/>
      </c>
      <c r="C455" s="38" t="str">
        <f t="shared" si="68"/>
        <v/>
      </c>
      <c r="D455" s="38" t="str">
        <f t="shared" si="69"/>
        <v/>
      </c>
    </row>
    <row r="456" spans="1:4" ht="15.75" hidden="1" thickBot="1">
      <c r="A456" s="30" t="str">
        <f t="shared" si="66"/>
        <v/>
      </c>
      <c r="B456" s="37" t="str">
        <f t="shared" si="67"/>
        <v/>
      </c>
      <c r="C456" s="38" t="str">
        <f t="shared" si="68"/>
        <v/>
      </c>
      <c r="D456" s="38" t="str">
        <f t="shared" si="69"/>
        <v/>
      </c>
    </row>
    <row r="457" spans="1:4" ht="15.75" hidden="1" thickBot="1">
      <c r="A457" s="30" t="str">
        <f t="shared" si="66"/>
        <v/>
      </c>
      <c r="B457" s="37" t="str">
        <f t="shared" si="67"/>
        <v/>
      </c>
      <c r="C457" s="38" t="str">
        <f t="shared" si="68"/>
        <v/>
      </c>
      <c r="D457" s="38" t="str">
        <f t="shared" si="69"/>
        <v/>
      </c>
    </row>
    <row r="458" spans="1:4" ht="15.75" hidden="1" thickBot="1">
      <c r="A458" s="30" t="str">
        <f t="shared" si="66"/>
        <v/>
      </c>
      <c r="B458" s="37" t="str">
        <f t="shared" si="67"/>
        <v/>
      </c>
      <c r="C458" s="38" t="str">
        <f t="shared" si="68"/>
        <v/>
      </c>
      <c r="D458" s="38" t="str">
        <f t="shared" si="69"/>
        <v/>
      </c>
    </row>
    <row r="459" spans="1:4" ht="15.75" hidden="1" thickBot="1">
      <c r="A459" s="30" t="str">
        <f t="shared" si="66"/>
        <v/>
      </c>
      <c r="B459" s="37" t="str">
        <f t="shared" si="67"/>
        <v/>
      </c>
      <c r="C459" s="38" t="str">
        <f t="shared" si="68"/>
        <v/>
      </c>
      <c r="D459" s="38" t="str">
        <f t="shared" si="69"/>
        <v/>
      </c>
    </row>
    <row r="460" spans="1:4" ht="15.75" hidden="1" thickBot="1">
      <c r="A460" s="30" t="str">
        <f t="shared" si="66"/>
        <v/>
      </c>
      <c r="B460" s="37" t="str">
        <f t="shared" si="67"/>
        <v/>
      </c>
      <c r="C460" s="38" t="str">
        <f t="shared" si="68"/>
        <v/>
      </c>
      <c r="D460" s="38" t="str">
        <f t="shared" si="69"/>
        <v/>
      </c>
    </row>
    <row r="461" spans="1:4" ht="15.75" hidden="1" thickBot="1">
      <c r="A461" s="30" t="str">
        <f t="shared" si="66"/>
        <v/>
      </c>
      <c r="B461" s="37" t="str">
        <f t="shared" si="67"/>
        <v/>
      </c>
      <c r="C461" s="38" t="str">
        <f t="shared" si="68"/>
        <v/>
      </c>
      <c r="D461" s="38" t="str">
        <f t="shared" si="69"/>
        <v/>
      </c>
    </row>
    <row r="462" spans="1:4" ht="15.75" hidden="1" thickBot="1">
      <c r="A462" s="30" t="str">
        <f t="shared" si="66"/>
        <v/>
      </c>
      <c r="B462" s="37" t="str">
        <f t="shared" si="67"/>
        <v/>
      </c>
      <c r="C462" s="38" t="str">
        <f t="shared" si="68"/>
        <v/>
      </c>
      <c r="D462" s="38" t="str">
        <f t="shared" si="69"/>
        <v/>
      </c>
    </row>
    <row r="463" spans="1:4" ht="15.75" hidden="1" thickBot="1">
      <c r="A463" s="30" t="str">
        <f t="shared" si="66"/>
        <v/>
      </c>
      <c r="B463" s="37" t="str">
        <f t="shared" si="67"/>
        <v/>
      </c>
      <c r="C463" s="38" t="str">
        <f t="shared" si="68"/>
        <v/>
      </c>
      <c r="D463" s="38" t="str">
        <f t="shared" si="69"/>
        <v/>
      </c>
    </row>
    <row r="464" spans="1:4" ht="15.75" hidden="1" thickBot="1">
      <c r="A464" s="30" t="str">
        <f t="shared" si="66"/>
        <v/>
      </c>
      <c r="B464" s="37" t="str">
        <f t="shared" si="67"/>
        <v/>
      </c>
      <c r="C464" s="38" t="str">
        <f t="shared" si="68"/>
        <v/>
      </c>
      <c r="D464" s="38" t="str">
        <f t="shared" si="69"/>
        <v/>
      </c>
    </row>
    <row r="465" spans="1:4" ht="15.75" hidden="1" thickBot="1">
      <c r="A465" s="30" t="str">
        <f t="shared" si="66"/>
        <v/>
      </c>
      <c r="B465" s="37" t="str">
        <f t="shared" si="67"/>
        <v/>
      </c>
      <c r="C465" s="38" t="str">
        <f t="shared" si="68"/>
        <v/>
      </c>
      <c r="D465" s="38" t="str">
        <f t="shared" si="69"/>
        <v/>
      </c>
    </row>
    <row r="466" spans="1:4" ht="15.75" hidden="1" thickBot="1">
      <c r="A466" s="30" t="str">
        <f t="shared" si="66"/>
        <v/>
      </c>
      <c r="B466" s="37" t="str">
        <f t="shared" si="67"/>
        <v/>
      </c>
      <c r="C466" s="38" t="str">
        <f t="shared" si="68"/>
        <v/>
      </c>
      <c r="D466" s="38" t="str">
        <f t="shared" si="69"/>
        <v/>
      </c>
    </row>
    <row r="467" spans="1:4" ht="15.75" hidden="1" thickBot="1">
      <c r="A467" s="30" t="str">
        <f t="shared" si="66"/>
        <v/>
      </c>
      <c r="B467" s="37" t="str">
        <f t="shared" si="67"/>
        <v/>
      </c>
      <c r="C467" s="38" t="str">
        <f t="shared" si="68"/>
        <v/>
      </c>
      <c r="D467" s="38" t="str">
        <f t="shared" si="69"/>
        <v/>
      </c>
    </row>
    <row r="468" spans="1:4" ht="15.75" hidden="1" thickBot="1">
      <c r="A468" s="30" t="str">
        <f t="shared" si="66"/>
        <v/>
      </c>
      <c r="B468" s="37" t="str">
        <f t="shared" si="67"/>
        <v/>
      </c>
      <c r="C468" s="38" t="str">
        <f t="shared" si="68"/>
        <v/>
      </c>
      <c r="D468" s="38" t="str">
        <f t="shared" si="69"/>
        <v/>
      </c>
    </row>
    <row r="469" spans="1:4" ht="15.75" hidden="1" thickBot="1">
      <c r="A469" s="30" t="str">
        <f t="shared" si="66"/>
        <v/>
      </c>
      <c r="B469" s="37" t="str">
        <f t="shared" si="67"/>
        <v/>
      </c>
      <c r="C469" s="38" t="str">
        <f t="shared" si="68"/>
        <v/>
      </c>
      <c r="D469" s="38" t="str">
        <f t="shared" si="69"/>
        <v/>
      </c>
    </row>
    <row r="470" spans="1:4" ht="15.75" hidden="1" thickBot="1">
      <c r="A470" s="30" t="str">
        <f t="shared" si="66"/>
        <v/>
      </c>
      <c r="B470" s="37" t="str">
        <f t="shared" si="67"/>
        <v/>
      </c>
      <c r="C470" s="38" t="str">
        <f t="shared" si="68"/>
        <v/>
      </c>
      <c r="D470" s="38" t="str">
        <f t="shared" si="69"/>
        <v/>
      </c>
    </row>
    <row r="471" spans="1:4" ht="15.75" hidden="1" thickBot="1">
      <c r="A471" s="30" t="str">
        <f t="shared" si="66"/>
        <v/>
      </c>
      <c r="B471" s="37" t="str">
        <f t="shared" si="67"/>
        <v/>
      </c>
      <c r="C471" s="38" t="str">
        <f t="shared" si="68"/>
        <v/>
      </c>
      <c r="D471" s="38" t="str">
        <f t="shared" si="69"/>
        <v/>
      </c>
    </row>
    <row r="472" spans="1:4" ht="15.75" hidden="1" thickBot="1">
      <c r="A472" s="30" t="str">
        <f t="shared" si="66"/>
        <v/>
      </c>
      <c r="B472" s="37" t="str">
        <f t="shared" si="67"/>
        <v/>
      </c>
      <c r="C472" s="38" t="str">
        <f t="shared" si="68"/>
        <v/>
      </c>
      <c r="D472" s="38" t="str">
        <f t="shared" si="69"/>
        <v/>
      </c>
    </row>
    <row r="473" spans="1:4" ht="15.75" hidden="1" thickBot="1">
      <c r="A473" s="30" t="str">
        <f t="shared" ref="A473:A499" si="70">A71</f>
        <v/>
      </c>
      <c r="B473" s="37" t="str">
        <f t="shared" si="67"/>
        <v/>
      </c>
      <c r="C473" s="38" t="str">
        <f t="shared" si="68"/>
        <v/>
      </c>
      <c r="D473" s="38" t="str">
        <f t="shared" si="69"/>
        <v/>
      </c>
    </row>
    <row r="474" spans="1:4" ht="15.75" hidden="1" thickBot="1">
      <c r="A474" s="30" t="str">
        <f t="shared" si="70"/>
        <v/>
      </c>
      <c r="B474" s="37" t="str">
        <f t="shared" ref="B474:B500" si="71">IFERROR(INDEX($B$7:$D$98,MATCH(INDEX($A$112:$A$203,MATCH(SMALL($S$112:$S$203,$A474),$S$112:$S$203,0)),$A$7:$A$98,0),1),"")</f>
        <v/>
      </c>
      <c r="C474" s="38" t="str">
        <f t="shared" ref="C474:C500" si="72">IFERROR(INDEX($B$7:$D$98,MATCH(INDEX($A$112:$A$203,MATCH(SMALL($S$112:$S$203,$A474),$S$112:$S$203,0)),$A$7:$A$98,0),2),"")</f>
        <v/>
      </c>
      <c r="D474" s="38" t="str">
        <f t="shared" ref="D474:D500" si="73">IFERROR(INDEX($B$7:$D$98,MATCH(INDEX($A$112:$A$203,MATCH(SMALL($S$112:$S$203,$A474),$S$112:$S$203,0)),$A$7:$A$98,0),3),"")</f>
        <v/>
      </c>
    </row>
    <row r="475" spans="1:4" ht="15.75" hidden="1" thickBot="1">
      <c r="A475" s="30" t="str">
        <f t="shared" si="70"/>
        <v/>
      </c>
      <c r="B475" s="37" t="str">
        <f t="shared" si="71"/>
        <v/>
      </c>
      <c r="C475" s="38" t="str">
        <f t="shared" si="72"/>
        <v/>
      </c>
      <c r="D475" s="38" t="str">
        <f t="shared" si="73"/>
        <v/>
      </c>
    </row>
    <row r="476" spans="1:4" ht="15.75" hidden="1" thickBot="1">
      <c r="A476" s="30" t="str">
        <f t="shared" si="70"/>
        <v/>
      </c>
      <c r="B476" s="37" t="str">
        <f t="shared" si="71"/>
        <v/>
      </c>
      <c r="C476" s="38" t="str">
        <f t="shared" si="72"/>
        <v/>
      </c>
      <c r="D476" s="38" t="str">
        <f t="shared" si="73"/>
        <v/>
      </c>
    </row>
    <row r="477" spans="1:4" ht="15.75" hidden="1" thickBot="1">
      <c r="A477" s="30" t="str">
        <f t="shared" si="70"/>
        <v/>
      </c>
      <c r="B477" s="37" t="str">
        <f t="shared" si="71"/>
        <v/>
      </c>
      <c r="C477" s="38" t="str">
        <f t="shared" si="72"/>
        <v/>
      </c>
      <c r="D477" s="38" t="str">
        <f t="shared" si="73"/>
        <v/>
      </c>
    </row>
    <row r="478" spans="1:4" ht="15.75" hidden="1" thickBot="1">
      <c r="A478" s="30" t="str">
        <f t="shared" si="70"/>
        <v/>
      </c>
      <c r="B478" s="37" t="str">
        <f t="shared" si="71"/>
        <v/>
      </c>
      <c r="C478" s="38" t="str">
        <f t="shared" si="72"/>
        <v/>
      </c>
      <c r="D478" s="38" t="str">
        <f t="shared" si="73"/>
        <v/>
      </c>
    </row>
    <row r="479" spans="1:4" ht="15.75" hidden="1" thickBot="1">
      <c r="A479" s="30" t="str">
        <f t="shared" si="70"/>
        <v/>
      </c>
      <c r="B479" s="37" t="str">
        <f t="shared" si="71"/>
        <v/>
      </c>
      <c r="C479" s="38" t="str">
        <f t="shared" si="72"/>
        <v/>
      </c>
      <c r="D479" s="38" t="str">
        <f t="shared" si="73"/>
        <v/>
      </c>
    </row>
    <row r="480" spans="1:4" ht="15.75" hidden="1" thickBot="1">
      <c r="A480" s="30" t="str">
        <f t="shared" si="70"/>
        <v/>
      </c>
      <c r="B480" s="37" t="str">
        <f t="shared" si="71"/>
        <v/>
      </c>
      <c r="C480" s="38" t="str">
        <f t="shared" si="72"/>
        <v/>
      </c>
      <c r="D480" s="38" t="str">
        <f t="shared" si="73"/>
        <v/>
      </c>
    </row>
    <row r="481" spans="1:4" ht="15.75" hidden="1" thickBot="1">
      <c r="A481" s="30" t="str">
        <f t="shared" si="70"/>
        <v/>
      </c>
      <c r="B481" s="37" t="str">
        <f t="shared" si="71"/>
        <v/>
      </c>
      <c r="C481" s="38" t="str">
        <f t="shared" si="72"/>
        <v/>
      </c>
      <c r="D481" s="38" t="str">
        <f t="shared" si="73"/>
        <v/>
      </c>
    </row>
    <row r="482" spans="1:4" ht="15.75" hidden="1" thickBot="1">
      <c r="A482" s="30" t="str">
        <f t="shared" si="70"/>
        <v/>
      </c>
      <c r="B482" s="37" t="str">
        <f t="shared" si="71"/>
        <v/>
      </c>
      <c r="C482" s="38" t="str">
        <f t="shared" si="72"/>
        <v/>
      </c>
      <c r="D482" s="38" t="str">
        <f t="shared" si="73"/>
        <v/>
      </c>
    </row>
    <row r="483" spans="1:4" ht="15.75" hidden="1" thickBot="1">
      <c r="A483" s="30" t="str">
        <f t="shared" si="70"/>
        <v/>
      </c>
      <c r="B483" s="37" t="str">
        <f t="shared" si="71"/>
        <v/>
      </c>
      <c r="C483" s="38" t="str">
        <f t="shared" si="72"/>
        <v/>
      </c>
      <c r="D483" s="38" t="str">
        <f t="shared" si="73"/>
        <v/>
      </c>
    </row>
    <row r="484" spans="1:4" ht="15.75" hidden="1" thickBot="1">
      <c r="A484" s="30" t="str">
        <f t="shared" si="70"/>
        <v/>
      </c>
      <c r="B484" s="37" t="str">
        <f t="shared" si="71"/>
        <v/>
      </c>
      <c r="C484" s="38" t="str">
        <f t="shared" si="72"/>
        <v/>
      </c>
      <c r="D484" s="38" t="str">
        <f t="shared" si="73"/>
        <v/>
      </c>
    </row>
    <row r="485" spans="1:4" ht="15.75" hidden="1" thickBot="1">
      <c r="A485" s="30" t="str">
        <f t="shared" si="70"/>
        <v/>
      </c>
      <c r="B485" s="37" t="str">
        <f t="shared" si="71"/>
        <v/>
      </c>
      <c r="C485" s="38" t="str">
        <f t="shared" si="72"/>
        <v/>
      </c>
      <c r="D485" s="38" t="str">
        <f t="shared" si="73"/>
        <v/>
      </c>
    </row>
    <row r="486" spans="1:4" ht="15.75" hidden="1" thickBot="1">
      <c r="A486" s="30" t="str">
        <f t="shared" si="70"/>
        <v/>
      </c>
      <c r="B486" s="37" t="str">
        <f t="shared" si="71"/>
        <v/>
      </c>
      <c r="C486" s="38" t="str">
        <f t="shared" si="72"/>
        <v/>
      </c>
      <c r="D486" s="38" t="str">
        <f t="shared" si="73"/>
        <v/>
      </c>
    </row>
    <row r="487" spans="1:4" ht="15.75" hidden="1" thickBot="1">
      <c r="A487" s="30" t="str">
        <f t="shared" si="70"/>
        <v/>
      </c>
      <c r="B487" s="37" t="str">
        <f t="shared" si="71"/>
        <v/>
      </c>
      <c r="C487" s="38" t="str">
        <f t="shared" si="72"/>
        <v/>
      </c>
      <c r="D487" s="38" t="str">
        <f t="shared" si="73"/>
        <v/>
      </c>
    </row>
    <row r="488" spans="1:4" ht="15.75" hidden="1" thickBot="1">
      <c r="A488" s="30" t="str">
        <f t="shared" si="70"/>
        <v/>
      </c>
      <c r="B488" s="37" t="str">
        <f t="shared" si="71"/>
        <v/>
      </c>
      <c r="C488" s="38" t="str">
        <f t="shared" si="72"/>
        <v/>
      </c>
      <c r="D488" s="38" t="str">
        <f t="shared" si="73"/>
        <v/>
      </c>
    </row>
    <row r="489" spans="1:4" ht="15.75" hidden="1" thickBot="1">
      <c r="A489" s="30" t="str">
        <f t="shared" si="70"/>
        <v/>
      </c>
      <c r="B489" s="37" t="str">
        <f t="shared" si="71"/>
        <v/>
      </c>
      <c r="C489" s="38" t="str">
        <f t="shared" si="72"/>
        <v/>
      </c>
      <c r="D489" s="38" t="str">
        <f t="shared" si="73"/>
        <v/>
      </c>
    </row>
    <row r="490" spans="1:4" ht="15.75" hidden="1" thickBot="1">
      <c r="A490" s="30" t="str">
        <f t="shared" si="70"/>
        <v/>
      </c>
      <c r="B490" s="37" t="str">
        <f t="shared" si="71"/>
        <v/>
      </c>
      <c r="C490" s="38" t="str">
        <f t="shared" si="72"/>
        <v/>
      </c>
      <c r="D490" s="38" t="str">
        <f t="shared" si="73"/>
        <v/>
      </c>
    </row>
    <row r="491" spans="1:4" ht="15.75" hidden="1" thickBot="1">
      <c r="A491" s="30" t="str">
        <f t="shared" si="70"/>
        <v/>
      </c>
      <c r="B491" s="37" t="str">
        <f t="shared" si="71"/>
        <v/>
      </c>
      <c r="C491" s="38" t="str">
        <f t="shared" si="72"/>
        <v/>
      </c>
      <c r="D491" s="38" t="str">
        <f t="shared" si="73"/>
        <v/>
      </c>
    </row>
    <row r="492" spans="1:4" ht="15.75" hidden="1" thickBot="1">
      <c r="A492" s="30" t="str">
        <f t="shared" si="70"/>
        <v/>
      </c>
      <c r="B492" s="37" t="str">
        <f t="shared" si="71"/>
        <v/>
      </c>
      <c r="C492" s="38" t="str">
        <f t="shared" si="72"/>
        <v/>
      </c>
      <c r="D492" s="38" t="str">
        <f t="shared" si="73"/>
        <v/>
      </c>
    </row>
    <row r="493" spans="1:4" ht="15.75" hidden="1" thickBot="1">
      <c r="A493" s="30" t="str">
        <f t="shared" si="70"/>
        <v/>
      </c>
      <c r="B493" s="37" t="str">
        <f t="shared" si="71"/>
        <v/>
      </c>
      <c r="C493" s="38" t="str">
        <f t="shared" si="72"/>
        <v/>
      </c>
      <c r="D493" s="38" t="str">
        <f t="shared" si="73"/>
        <v/>
      </c>
    </row>
    <row r="494" spans="1:4" ht="15.75" hidden="1" thickBot="1">
      <c r="A494" s="30" t="str">
        <f t="shared" si="70"/>
        <v/>
      </c>
      <c r="B494" s="37" t="str">
        <f t="shared" si="71"/>
        <v/>
      </c>
      <c r="C494" s="38" t="str">
        <f t="shared" si="72"/>
        <v/>
      </c>
      <c r="D494" s="38" t="str">
        <f t="shared" si="73"/>
        <v/>
      </c>
    </row>
    <row r="495" spans="1:4" ht="15.75" hidden="1" thickBot="1">
      <c r="A495" s="30" t="str">
        <f t="shared" si="70"/>
        <v/>
      </c>
      <c r="B495" s="37" t="str">
        <f t="shared" si="71"/>
        <v/>
      </c>
      <c r="C495" s="38" t="str">
        <f t="shared" si="72"/>
        <v/>
      </c>
      <c r="D495" s="38" t="str">
        <f t="shared" si="73"/>
        <v/>
      </c>
    </row>
    <row r="496" spans="1:4" ht="15.75" hidden="1" thickBot="1">
      <c r="A496" s="30" t="str">
        <f t="shared" si="70"/>
        <v/>
      </c>
      <c r="B496" s="37" t="str">
        <f t="shared" si="71"/>
        <v/>
      </c>
      <c r="C496" s="38" t="str">
        <f t="shared" si="72"/>
        <v/>
      </c>
      <c r="D496" s="38" t="str">
        <f t="shared" si="73"/>
        <v/>
      </c>
    </row>
    <row r="497" spans="1:4" ht="15.75" hidden="1" thickBot="1">
      <c r="A497" s="30" t="str">
        <f t="shared" si="70"/>
        <v/>
      </c>
      <c r="B497" s="37" t="str">
        <f t="shared" si="71"/>
        <v/>
      </c>
      <c r="C497" s="38" t="str">
        <f t="shared" si="72"/>
        <v/>
      </c>
      <c r="D497" s="38" t="str">
        <f t="shared" si="73"/>
        <v/>
      </c>
    </row>
    <row r="498" spans="1:4" ht="15.75" hidden="1" thickBot="1">
      <c r="A498" s="30" t="str">
        <f t="shared" si="70"/>
        <v/>
      </c>
      <c r="B498" s="37" t="str">
        <f t="shared" si="71"/>
        <v/>
      </c>
      <c r="C498" s="38" t="str">
        <f t="shared" si="72"/>
        <v/>
      </c>
      <c r="D498" s="38" t="str">
        <f t="shared" si="73"/>
        <v/>
      </c>
    </row>
    <row r="499" spans="1:4" ht="15.75" hidden="1" thickBot="1">
      <c r="A499" s="30" t="str">
        <f t="shared" si="70"/>
        <v/>
      </c>
      <c r="B499" s="37" t="str">
        <f t="shared" si="71"/>
        <v/>
      </c>
      <c r="C499" s="38" t="str">
        <f t="shared" si="72"/>
        <v/>
      </c>
      <c r="D499" s="38" t="str">
        <f t="shared" si="73"/>
        <v/>
      </c>
    </row>
    <row r="500" spans="1:4" ht="15.75" hidden="1" thickBot="1">
      <c r="A500" s="30" t="str">
        <f>A98</f>
        <v/>
      </c>
      <c r="B500" s="37" t="str">
        <f t="shared" si="71"/>
        <v/>
      </c>
      <c r="C500" s="38" t="str">
        <f t="shared" si="72"/>
        <v/>
      </c>
      <c r="D500" s="38" t="str">
        <f t="shared" si="73"/>
        <v/>
      </c>
    </row>
    <row r="501" spans="1:4" ht="15.75" hidden="1" thickBot="1"/>
    <row r="502" spans="1:4" ht="15.75" hidden="1" thickBot="1">
      <c r="A502" s="30"/>
      <c r="B502" s="67" t="str">
        <f>L110</f>
        <v>Empresa 4</v>
      </c>
      <c r="C502" s="107"/>
      <c r="D502" s="68"/>
    </row>
    <row r="503" spans="1:4" hidden="1">
      <c r="A503" s="30"/>
      <c r="B503" s="59" t="s">
        <v>1</v>
      </c>
      <c r="C503" s="59" t="s">
        <v>2</v>
      </c>
      <c r="D503" s="59" t="s">
        <v>8</v>
      </c>
    </row>
    <row r="504" spans="1:4" hidden="1">
      <c r="A504" s="30"/>
      <c r="B504" s="60"/>
      <c r="C504" s="60"/>
      <c r="D504" s="60"/>
    </row>
    <row r="505" spans="1:4" ht="15.75" hidden="1" thickBot="1">
      <c r="A505" s="30"/>
      <c r="B505" s="61"/>
      <c r="C505" s="61"/>
      <c r="D505" s="61"/>
    </row>
    <row r="506" spans="1:4" ht="15.75" hidden="1" thickBot="1">
      <c r="A506" s="30" t="str">
        <f t="shared" ref="A506:A569" si="74">A7</f>
        <v/>
      </c>
      <c r="B506" s="37" t="str">
        <f>IFERROR(INDEX($B$7:$D$98,MATCH(INDEX($A$112:$A$203,MATCH(SMALL($T$112:$T$203,$A506),$T$112:$T$203,0)),$A$7:$A$98,0),1),"")</f>
        <v/>
      </c>
      <c r="C506" s="37" t="str">
        <f>IFERROR(INDEX($B$7:$D$98,MATCH(INDEX($A$112:$A$203,MATCH(SMALL($T$112:$T$203,$A506),$T$112:$T$203,0)),$A$7:$A$98,0),2),"")</f>
        <v/>
      </c>
      <c r="D506" s="37" t="str">
        <f>IFERROR(INDEX($B$7:$D$98,MATCH(INDEX($A$112:$A$203,MATCH(SMALL($T$112:$T$203,$A506),$T$112:$T$203,0)),$A$7:$A$98,0),3),"")</f>
        <v/>
      </c>
    </row>
    <row r="507" spans="1:4" ht="15.75" hidden="1" thickBot="1">
      <c r="A507" s="30" t="str">
        <f t="shared" si="74"/>
        <v/>
      </c>
      <c r="B507" s="37" t="str">
        <f t="shared" ref="B507:B570" si="75">IFERROR(INDEX($B$7:$D$98,MATCH(INDEX($A$112:$A$203,MATCH(SMALL($T$112:$T$203,$A507),$T$112:$T$203,0)),$A$7:$A$98,0),1),"")</f>
        <v/>
      </c>
      <c r="C507" s="37" t="str">
        <f t="shared" ref="C507:C570" si="76">IFERROR(INDEX($B$7:$D$98,MATCH(INDEX($A$112:$A$203,MATCH(SMALL($T$112:$T$203,$A507),$T$112:$T$203,0)),$A$7:$A$98,0),2),"")</f>
        <v/>
      </c>
      <c r="D507" s="37" t="str">
        <f t="shared" ref="D507:D570" si="77">IFERROR(INDEX($B$7:$D$98,MATCH(INDEX($A$112:$A$203,MATCH(SMALL($T$112:$T$203,$A507),$T$112:$T$203,0)),$A$7:$A$98,0),3),"")</f>
        <v/>
      </c>
    </row>
    <row r="508" spans="1:4" ht="15.75" hidden="1" thickBot="1">
      <c r="A508" s="30" t="str">
        <f t="shared" si="74"/>
        <v/>
      </c>
      <c r="B508" s="37" t="str">
        <f t="shared" si="75"/>
        <v/>
      </c>
      <c r="C508" s="37" t="str">
        <f t="shared" si="76"/>
        <v/>
      </c>
      <c r="D508" s="37" t="str">
        <f t="shared" si="77"/>
        <v/>
      </c>
    </row>
    <row r="509" spans="1:4" ht="15.75" hidden="1" thickBot="1">
      <c r="A509" s="30" t="str">
        <f t="shared" si="74"/>
        <v/>
      </c>
      <c r="B509" s="37" t="str">
        <f t="shared" si="75"/>
        <v/>
      </c>
      <c r="C509" s="37" t="str">
        <f t="shared" si="76"/>
        <v/>
      </c>
      <c r="D509" s="37" t="str">
        <f t="shared" si="77"/>
        <v/>
      </c>
    </row>
    <row r="510" spans="1:4" ht="15.75" hidden="1" thickBot="1">
      <c r="A510" s="30" t="str">
        <f t="shared" si="74"/>
        <v/>
      </c>
      <c r="B510" s="37" t="str">
        <f t="shared" si="75"/>
        <v/>
      </c>
      <c r="C510" s="37" t="str">
        <f t="shared" si="76"/>
        <v/>
      </c>
      <c r="D510" s="37" t="str">
        <f t="shared" si="77"/>
        <v/>
      </c>
    </row>
    <row r="511" spans="1:4" ht="15.75" hidden="1" thickBot="1">
      <c r="A511" s="30" t="str">
        <f t="shared" si="74"/>
        <v/>
      </c>
      <c r="B511" s="37" t="str">
        <f t="shared" si="75"/>
        <v/>
      </c>
      <c r="C511" s="37" t="str">
        <f t="shared" si="76"/>
        <v/>
      </c>
      <c r="D511" s="37" t="str">
        <f t="shared" si="77"/>
        <v/>
      </c>
    </row>
    <row r="512" spans="1:4" ht="15.75" hidden="1" thickBot="1">
      <c r="A512" s="30" t="str">
        <f t="shared" si="74"/>
        <v/>
      </c>
      <c r="B512" s="37" t="str">
        <f t="shared" si="75"/>
        <v/>
      </c>
      <c r="C512" s="37" t="str">
        <f t="shared" si="76"/>
        <v/>
      </c>
      <c r="D512" s="37" t="str">
        <f t="shared" si="77"/>
        <v/>
      </c>
    </row>
    <row r="513" spans="1:4" ht="15.75" hidden="1" thickBot="1">
      <c r="A513" s="30" t="str">
        <f t="shared" si="74"/>
        <v/>
      </c>
      <c r="B513" s="37" t="str">
        <f t="shared" si="75"/>
        <v/>
      </c>
      <c r="C513" s="37" t="str">
        <f t="shared" si="76"/>
        <v/>
      </c>
      <c r="D513" s="37" t="str">
        <f t="shared" si="77"/>
        <v/>
      </c>
    </row>
    <row r="514" spans="1:4" ht="15.75" hidden="1" thickBot="1">
      <c r="A514" s="30" t="str">
        <f t="shared" si="74"/>
        <v/>
      </c>
      <c r="B514" s="37" t="str">
        <f t="shared" si="75"/>
        <v/>
      </c>
      <c r="C514" s="37" t="str">
        <f t="shared" si="76"/>
        <v/>
      </c>
      <c r="D514" s="37" t="str">
        <f t="shared" si="77"/>
        <v/>
      </c>
    </row>
    <row r="515" spans="1:4" ht="15.75" hidden="1" thickBot="1">
      <c r="A515" s="30" t="str">
        <f t="shared" si="74"/>
        <v/>
      </c>
      <c r="B515" s="37" t="str">
        <f t="shared" si="75"/>
        <v/>
      </c>
      <c r="C515" s="37" t="str">
        <f t="shared" si="76"/>
        <v/>
      </c>
      <c r="D515" s="37" t="str">
        <f t="shared" si="77"/>
        <v/>
      </c>
    </row>
    <row r="516" spans="1:4" ht="15.75" hidden="1" thickBot="1">
      <c r="A516" s="30" t="str">
        <f t="shared" si="74"/>
        <v/>
      </c>
      <c r="B516" s="37" t="str">
        <f t="shared" si="75"/>
        <v/>
      </c>
      <c r="C516" s="37" t="str">
        <f t="shared" si="76"/>
        <v/>
      </c>
      <c r="D516" s="37" t="str">
        <f t="shared" si="77"/>
        <v/>
      </c>
    </row>
    <row r="517" spans="1:4" ht="15.75" hidden="1" thickBot="1">
      <c r="A517" s="30" t="str">
        <f t="shared" si="74"/>
        <v/>
      </c>
      <c r="B517" s="37" t="str">
        <f t="shared" si="75"/>
        <v/>
      </c>
      <c r="C517" s="37" t="str">
        <f t="shared" si="76"/>
        <v/>
      </c>
      <c r="D517" s="37" t="str">
        <f t="shared" si="77"/>
        <v/>
      </c>
    </row>
    <row r="518" spans="1:4" ht="15.75" hidden="1" thickBot="1">
      <c r="A518" s="30" t="str">
        <f t="shared" si="74"/>
        <v/>
      </c>
      <c r="B518" s="37" t="str">
        <f t="shared" si="75"/>
        <v/>
      </c>
      <c r="C518" s="37" t="str">
        <f t="shared" si="76"/>
        <v/>
      </c>
      <c r="D518" s="37" t="str">
        <f t="shared" si="77"/>
        <v/>
      </c>
    </row>
    <row r="519" spans="1:4" ht="15.75" hidden="1" thickBot="1">
      <c r="A519" s="30" t="str">
        <f t="shared" si="74"/>
        <v/>
      </c>
      <c r="B519" s="37" t="str">
        <f t="shared" si="75"/>
        <v/>
      </c>
      <c r="C519" s="37" t="str">
        <f t="shared" si="76"/>
        <v/>
      </c>
      <c r="D519" s="37" t="str">
        <f t="shared" si="77"/>
        <v/>
      </c>
    </row>
    <row r="520" spans="1:4" ht="15.75" hidden="1" thickBot="1">
      <c r="A520" s="30" t="str">
        <f t="shared" si="74"/>
        <v/>
      </c>
      <c r="B520" s="37" t="str">
        <f t="shared" si="75"/>
        <v/>
      </c>
      <c r="C520" s="37" t="str">
        <f t="shared" si="76"/>
        <v/>
      </c>
      <c r="D520" s="37" t="str">
        <f t="shared" si="77"/>
        <v/>
      </c>
    </row>
    <row r="521" spans="1:4" ht="15.75" hidden="1" thickBot="1">
      <c r="A521" s="30" t="str">
        <f t="shared" si="74"/>
        <v/>
      </c>
      <c r="B521" s="37" t="str">
        <f t="shared" si="75"/>
        <v/>
      </c>
      <c r="C521" s="37" t="str">
        <f t="shared" si="76"/>
        <v/>
      </c>
      <c r="D521" s="37" t="str">
        <f t="shared" si="77"/>
        <v/>
      </c>
    </row>
    <row r="522" spans="1:4" ht="15.75" hidden="1" thickBot="1">
      <c r="A522" s="30" t="str">
        <f t="shared" si="74"/>
        <v/>
      </c>
      <c r="B522" s="37" t="str">
        <f t="shared" si="75"/>
        <v/>
      </c>
      <c r="C522" s="37" t="str">
        <f t="shared" si="76"/>
        <v/>
      </c>
      <c r="D522" s="37" t="str">
        <f t="shared" si="77"/>
        <v/>
      </c>
    </row>
    <row r="523" spans="1:4" ht="15.75" hidden="1" thickBot="1">
      <c r="A523" s="30" t="str">
        <f t="shared" si="74"/>
        <v/>
      </c>
      <c r="B523" s="37" t="str">
        <f t="shared" si="75"/>
        <v/>
      </c>
      <c r="C523" s="37" t="str">
        <f t="shared" si="76"/>
        <v/>
      </c>
      <c r="D523" s="37" t="str">
        <f t="shared" si="77"/>
        <v/>
      </c>
    </row>
    <row r="524" spans="1:4" ht="15.75" hidden="1" thickBot="1">
      <c r="A524" s="30" t="str">
        <f t="shared" si="74"/>
        <v/>
      </c>
      <c r="B524" s="37" t="str">
        <f t="shared" si="75"/>
        <v/>
      </c>
      <c r="C524" s="37" t="str">
        <f t="shared" si="76"/>
        <v/>
      </c>
      <c r="D524" s="37" t="str">
        <f t="shared" si="77"/>
        <v/>
      </c>
    </row>
    <row r="525" spans="1:4" ht="15.75" hidden="1" thickBot="1">
      <c r="A525" s="30" t="str">
        <f t="shared" si="74"/>
        <v/>
      </c>
      <c r="B525" s="37" t="str">
        <f t="shared" si="75"/>
        <v/>
      </c>
      <c r="C525" s="37" t="str">
        <f t="shared" si="76"/>
        <v/>
      </c>
      <c r="D525" s="37" t="str">
        <f t="shared" si="77"/>
        <v/>
      </c>
    </row>
    <row r="526" spans="1:4" ht="15.75" hidden="1" thickBot="1">
      <c r="A526" s="30" t="str">
        <f t="shared" si="74"/>
        <v/>
      </c>
      <c r="B526" s="37" t="str">
        <f t="shared" si="75"/>
        <v/>
      </c>
      <c r="C526" s="37" t="str">
        <f t="shared" si="76"/>
        <v/>
      </c>
      <c r="D526" s="37" t="str">
        <f t="shared" si="77"/>
        <v/>
      </c>
    </row>
    <row r="527" spans="1:4" ht="15.75" hidden="1" thickBot="1">
      <c r="A527" s="30" t="str">
        <f t="shared" si="74"/>
        <v/>
      </c>
      <c r="B527" s="37" t="str">
        <f t="shared" si="75"/>
        <v/>
      </c>
      <c r="C527" s="37" t="str">
        <f t="shared" si="76"/>
        <v/>
      </c>
      <c r="D527" s="37" t="str">
        <f t="shared" si="77"/>
        <v/>
      </c>
    </row>
    <row r="528" spans="1:4" ht="15.75" hidden="1" thickBot="1">
      <c r="A528" s="30" t="str">
        <f t="shared" si="74"/>
        <v/>
      </c>
      <c r="B528" s="37" t="str">
        <f t="shared" si="75"/>
        <v/>
      </c>
      <c r="C528" s="37" t="str">
        <f t="shared" si="76"/>
        <v/>
      </c>
      <c r="D528" s="37" t="str">
        <f t="shared" si="77"/>
        <v/>
      </c>
    </row>
    <row r="529" spans="1:4" ht="15.75" hidden="1" thickBot="1">
      <c r="A529" s="30" t="str">
        <f t="shared" si="74"/>
        <v/>
      </c>
      <c r="B529" s="37" t="str">
        <f t="shared" si="75"/>
        <v/>
      </c>
      <c r="C529" s="37" t="str">
        <f t="shared" si="76"/>
        <v/>
      </c>
      <c r="D529" s="37" t="str">
        <f t="shared" si="77"/>
        <v/>
      </c>
    </row>
    <row r="530" spans="1:4" ht="15.75" hidden="1" thickBot="1">
      <c r="A530" s="30" t="str">
        <f t="shared" si="74"/>
        <v/>
      </c>
      <c r="B530" s="37" t="str">
        <f t="shared" si="75"/>
        <v/>
      </c>
      <c r="C530" s="37" t="str">
        <f t="shared" si="76"/>
        <v/>
      </c>
      <c r="D530" s="37" t="str">
        <f t="shared" si="77"/>
        <v/>
      </c>
    </row>
    <row r="531" spans="1:4" ht="15.75" hidden="1" thickBot="1">
      <c r="A531" s="30" t="str">
        <f t="shared" si="74"/>
        <v/>
      </c>
      <c r="B531" s="37" t="str">
        <f t="shared" si="75"/>
        <v/>
      </c>
      <c r="C531" s="37" t="str">
        <f t="shared" si="76"/>
        <v/>
      </c>
      <c r="D531" s="37" t="str">
        <f t="shared" si="77"/>
        <v/>
      </c>
    </row>
    <row r="532" spans="1:4" ht="15.75" hidden="1" thickBot="1">
      <c r="A532" s="30" t="str">
        <f t="shared" si="74"/>
        <v/>
      </c>
      <c r="B532" s="37" t="str">
        <f t="shared" si="75"/>
        <v/>
      </c>
      <c r="C532" s="37" t="str">
        <f t="shared" si="76"/>
        <v/>
      </c>
      <c r="D532" s="37" t="str">
        <f t="shared" si="77"/>
        <v/>
      </c>
    </row>
    <row r="533" spans="1:4" ht="15.75" hidden="1" thickBot="1">
      <c r="A533" s="30" t="str">
        <f t="shared" si="74"/>
        <v/>
      </c>
      <c r="B533" s="37" t="str">
        <f t="shared" si="75"/>
        <v/>
      </c>
      <c r="C533" s="37" t="str">
        <f t="shared" si="76"/>
        <v/>
      </c>
      <c r="D533" s="37" t="str">
        <f t="shared" si="77"/>
        <v/>
      </c>
    </row>
    <row r="534" spans="1:4" ht="15.75" hidden="1" thickBot="1">
      <c r="A534" s="30" t="str">
        <f t="shared" si="74"/>
        <v/>
      </c>
      <c r="B534" s="37" t="str">
        <f t="shared" si="75"/>
        <v/>
      </c>
      <c r="C534" s="37" t="str">
        <f t="shared" si="76"/>
        <v/>
      </c>
      <c r="D534" s="37" t="str">
        <f t="shared" si="77"/>
        <v/>
      </c>
    </row>
    <row r="535" spans="1:4" ht="15.75" hidden="1" thickBot="1">
      <c r="A535" s="30" t="str">
        <f t="shared" si="74"/>
        <v/>
      </c>
      <c r="B535" s="37" t="str">
        <f t="shared" si="75"/>
        <v/>
      </c>
      <c r="C535" s="37" t="str">
        <f t="shared" si="76"/>
        <v/>
      </c>
      <c r="D535" s="37" t="str">
        <f t="shared" si="77"/>
        <v/>
      </c>
    </row>
    <row r="536" spans="1:4" ht="15.75" hidden="1" thickBot="1">
      <c r="A536" s="30" t="str">
        <f t="shared" si="74"/>
        <v/>
      </c>
      <c r="B536" s="37" t="str">
        <f t="shared" si="75"/>
        <v/>
      </c>
      <c r="C536" s="37" t="str">
        <f t="shared" si="76"/>
        <v/>
      </c>
      <c r="D536" s="37" t="str">
        <f t="shared" si="77"/>
        <v/>
      </c>
    </row>
    <row r="537" spans="1:4" ht="15.75" hidden="1" thickBot="1">
      <c r="A537" s="30" t="str">
        <f t="shared" si="74"/>
        <v/>
      </c>
      <c r="B537" s="37" t="str">
        <f t="shared" si="75"/>
        <v/>
      </c>
      <c r="C537" s="37" t="str">
        <f t="shared" si="76"/>
        <v/>
      </c>
      <c r="D537" s="37" t="str">
        <f t="shared" si="77"/>
        <v/>
      </c>
    </row>
    <row r="538" spans="1:4" ht="15.75" hidden="1" thickBot="1">
      <c r="A538" s="30" t="str">
        <f t="shared" si="74"/>
        <v/>
      </c>
      <c r="B538" s="37" t="str">
        <f t="shared" si="75"/>
        <v/>
      </c>
      <c r="C538" s="37" t="str">
        <f t="shared" si="76"/>
        <v/>
      </c>
      <c r="D538" s="37" t="str">
        <f t="shared" si="77"/>
        <v/>
      </c>
    </row>
    <row r="539" spans="1:4" ht="15.75" hidden="1" thickBot="1">
      <c r="A539" s="30" t="str">
        <f t="shared" si="74"/>
        <v/>
      </c>
      <c r="B539" s="37" t="str">
        <f t="shared" si="75"/>
        <v/>
      </c>
      <c r="C539" s="37" t="str">
        <f t="shared" si="76"/>
        <v/>
      </c>
      <c r="D539" s="37" t="str">
        <f t="shared" si="77"/>
        <v/>
      </c>
    </row>
    <row r="540" spans="1:4" ht="15.75" hidden="1" thickBot="1">
      <c r="A540" s="30" t="str">
        <f t="shared" si="74"/>
        <v/>
      </c>
      <c r="B540" s="37" t="str">
        <f t="shared" si="75"/>
        <v/>
      </c>
      <c r="C540" s="37" t="str">
        <f t="shared" si="76"/>
        <v/>
      </c>
      <c r="D540" s="37" t="str">
        <f t="shared" si="77"/>
        <v/>
      </c>
    </row>
    <row r="541" spans="1:4" ht="15.75" hidden="1" thickBot="1">
      <c r="A541" s="30" t="str">
        <f t="shared" si="74"/>
        <v/>
      </c>
      <c r="B541" s="37" t="str">
        <f t="shared" si="75"/>
        <v/>
      </c>
      <c r="C541" s="37" t="str">
        <f t="shared" si="76"/>
        <v/>
      </c>
      <c r="D541" s="37" t="str">
        <f t="shared" si="77"/>
        <v/>
      </c>
    </row>
    <row r="542" spans="1:4" ht="15.75" hidden="1" thickBot="1">
      <c r="A542" s="30" t="str">
        <f t="shared" si="74"/>
        <v/>
      </c>
      <c r="B542" s="37" t="str">
        <f t="shared" si="75"/>
        <v/>
      </c>
      <c r="C542" s="37" t="str">
        <f t="shared" si="76"/>
        <v/>
      </c>
      <c r="D542" s="37" t="str">
        <f t="shared" si="77"/>
        <v/>
      </c>
    </row>
    <row r="543" spans="1:4" ht="15.75" hidden="1" thickBot="1">
      <c r="A543" s="30" t="str">
        <f t="shared" si="74"/>
        <v/>
      </c>
      <c r="B543" s="37" t="str">
        <f t="shared" si="75"/>
        <v/>
      </c>
      <c r="C543" s="37" t="str">
        <f t="shared" si="76"/>
        <v/>
      </c>
      <c r="D543" s="37" t="str">
        <f t="shared" si="77"/>
        <v/>
      </c>
    </row>
    <row r="544" spans="1:4" ht="15.75" hidden="1" thickBot="1">
      <c r="A544" s="30" t="str">
        <f t="shared" si="74"/>
        <v/>
      </c>
      <c r="B544" s="37" t="str">
        <f t="shared" si="75"/>
        <v/>
      </c>
      <c r="C544" s="37" t="str">
        <f t="shared" si="76"/>
        <v/>
      </c>
      <c r="D544" s="37" t="str">
        <f t="shared" si="77"/>
        <v/>
      </c>
    </row>
    <row r="545" spans="1:4" ht="15.75" hidden="1" thickBot="1">
      <c r="A545" s="30" t="str">
        <f t="shared" si="74"/>
        <v/>
      </c>
      <c r="B545" s="37" t="str">
        <f t="shared" si="75"/>
        <v/>
      </c>
      <c r="C545" s="37" t="str">
        <f t="shared" si="76"/>
        <v/>
      </c>
      <c r="D545" s="37" t="str">
        <f t="shared" si="77"/>
        <v/>
      </c>
    </row>
    <row r="546" spans="1:4" ht="15.75" hidden="1" thickBot="1">
      <c r="A546" s="30" t="str">
        <f t="shared" si="74"/>
        <v/>
      </c>
      <c r="B546" s="37" t="str">
        <f t="shared" si="75"/>
        <v/>
      </c>
      <c r="C546" s="37" t="str">
        <f t="shared" si="76"/>
        <v/>
      </c>
      <c r="D546" s="37" t="str">
        <f t="shared" si="77"/>
        <v/>
      </c>
    </row>
    <row r="547" spans="1:4" ht="15.75" hidden="1" thickBot="1">
      <c r="A547" s="30" t="str">
        <f t="shared" si="74"/>
        <v/>
      </c>
      <c r="B547" s="37" t="str">
        <f t="shared" si="75"/>
        <v/>
      </c>
      <c r="C547" s="37" t="str">
        <f t="shared" si="76"/>
        <v/>
      </c>
      <c r="D547" s="37" t="str">
        <f t="shared" si="77"/>
        <v/>
      </c>
    </row>
    <row r="548" spans="1:4" ht="15.75" hidden="1" thickBot="1">
      <c r="A548" s="30" t="str">
        <f t="shared" si="74"/>
        <v/>
      </c>
      <c r="B548" s="37" t="str">
        <f t="shared" si="75"/>
        <v/>
      </c>
      <c r="C548" s="37" t="str">
        <f t="shared" si="76"/>
        <v/>
      </c>
      <c r="D548" s="37" t="str">
        <f t="shared" si="77"/>
        <v/>
      </c>
    </row>
    <row r="549" spans="1:4" ht="15.75" hidden="1" thickBot="1">
      <c r="A549" s="30" t="str">
        <f t="shared" si="74"/>
        <v/>
      </c>
      <c r="B549" s="37" t="str">
        <f t="shared" si="75"/>
        <v/>
      </c>
      <c r="C549" s="37" t="str">
        <f t="shared" si="76"/>
        <v/>
      </c>
      <c r="D549" s="37" t="str">
        <f t="shared" si="77"/>
        <v/>
      </c>
    </row>
    <row r="550" spans="1:4" ht="15.75" hidden="1" thickBot="1">
      <c r="A550" s="30" t="str">
        <f t="shared" si="74"/>
        <v/>
      </c>
      <c r="B550" s="37" t="str">
        <f t="shared" si="75"/>
        <v/>
      </c>
      <c r="C550" s="37" t="str">
        <f t="shared" si="76"/>
        <v/>
      </c>
      <c r="D550" s="37" t="str">
        <f t="shared" si="77"/>
        <v/>
      </c>
    </row>
    <row r="551" spans="1:4" ht="15.75" hidden="1" thickBot="1">
      <c r="A551" s="30" t="str">
        <f t="shared" si="74"/>
        <v/>
      </c>
      <c r="B551" s="37" t="str">
        <f t="shared" si="75"/>
        <v/>
      </c>
      <c r="C551" s="37" t="str">
        <f t="shared" si="76"/>
        <v/>
      </c>
      <c r="D551" s="37" t="str">
        <f t="shared" si="77"/>
        <v/>
      </c>
    </row>
    <row r="552" spans="1:4" ht="15.75" hidden="1" thickBot="1">
      <c r="A552" s="30" t="str">
        <f t="shared" si="74"/>
        <v/>
      </c>
      <c r="B552" s="37" t="str">
        <f t="shared" si="75"/>
        <v/>
      </c>
      <c r="C552" s="37" t="str">
        <f t="shared" si="76"/>
        <v/>
      </c>
      <c r="D552" s="37" t="str">
        <f t="shared" si="77"/>
        <v/>
      </c>
    </row>
    <row r="553" spans="1:4" ht="15.75" hidden="1" thickBot="1">
      <c r="A553" s="30" t="str">
        <f t="shared" si="74"/>
        <v/>
      </c>
      <c r="B553" s="37" t="str">
        <f t="shared" si="75"/>
        <v/>
      </c>
      <c r="C553" s="37" t="str">
        <f t="shared" si="76"/>
        <v/>
      </c>
      <c r="D553" s="37" t="str">
        <f t="shared" si="77"/>
        <v/>
      </c>
    </row>
    <row r="554" spans="1:4" ht="15.75" hidden="1" thickBot="1">
      <c r="A554" s="30" t="str">
        <f t="shared" si="74"/>
        <v/>
      </c>
      <c r="B554" s="37" t="str">
        <f t="shared" si="75"/>
        <v/>
      </c>
      <c r="C554" s="37" t="str">
        <f t="shared" si="76"/>
        <v/>
      </c>
      <c r="D554" s="37" t="str">
        <f t="shared" si="77"/>
        <v/>
      </c>
    </row>
    <row r="555" spans="1:4" ht="15.75" hidden="1" thickBot="1">
      <c r="A555" s="30" t="str">
        <f t="shared" si="74"/>
        <v/>
      </c>
      <c r="B555" s="37" t="str">
        <f t="shared" si="75"/>
        <v/>
      </c>
      <c r="C555" s="37" t="str">
        <f t="shared" si="76"/>
        <v/>
      </c>
      <c r="D555" s="37" t="str">
        <f t="shared" si="77"/>
        <v/>
      </c>
    </row>
    <row r="556" spans="1:4" ht="15.75" hidden="1" thickBot="1">
      <c r="A556" s="30" t="str">
        <f t="shared" si="74"/>
        <v/>
      </c>
      <c r="B556" s="37" t="str">
        <f t="shared" si="75"/>
        <v/>
      </c>
      <c r="C556" s="37" t="str">
        <f t="shared" si="76"/>
        <v/>
      </c>
      <c r="D556" s="37" t="str">
        <f t="shared" si="77"/>
        <v/>
      </c>
    </row>
    <row r="557" spans="1:4" ht="15.75" hidden="1" thickBot="1">
      <c r="A557" s="30" t="str">
        <f t="shared" si="74"/>
        <v/>
      </c>
      <c r="B557" s="37" t="str">
        <f t="shared" si="75"/>
        <v/>
      </c>
      <c r="C557" s="37" t="str">
        <f t="shared" si="76"/>
        <v/>
      </c>
      <c r="D557" s="37" t="str">
        <f t="shared" si="77"/>
        <v/>
      </c>
    </row>
    <row r="558" spans="1:4" ht="15.75" hidden="1" thickBot="1">
      <c r="A558" s="30" t="str">
        <f t="shared" si="74"/>
        <v/>
      </c>
      <c r="B558" s="37" t="str">
        <f t="shared" si="75"/>
        <v/>
      </c>
      <c r="C558" s="37" t="str">
        <f t="shared" si="76"/>
        <v/>
      </c>
      <c r="D558" s="37" t="str">
        <f t="shared" si="77"/>
        <v/>
      </c>
    </row>
    <row r="559" spans="1:4" ht="15.75" hidden="1" thickBot="1">
      <c r="A559" s="30" t="str">
        <f t="shared" si="74"/>
        <v/>
      </c>
      <c r="B559" s="37" t="str">
        <f t="shared" si="75"/>
        <v/>
      </c>
      <c r="C559" s="37" t="str">
        <f t="shared" si="76"/>
        <v/>
      </c>
      <c r="D559" s="37" t="str">
        <f t="shared" si="77"/>
        <v/>
      </c>
    </row>
    <row r="560" spans="1:4" ht="15.75" hidden="1" thickBot="1">
      <c r="A560" s="30" t="str">
        <f t="shared" si="74"/>
        <v/>
      </c>
      <c r="B560" s="37" t="str">
        <f t="shared" si="75"/>
        <v/>
      </c>
      <c r="C560" s="37" t="str">
        <f t="shared" si="76"/>
        <v/>
      </c>
      <c r="D560" s="37" t="str">
        <f t="shared" si="77"/>
        <v/>
      </c>
    </row>
    <row r="561" spans="1:4" ht="15.75" hidden="1" thickBot="1">
      <c r="A561" s="30" t="str">
        <f t="shared" si="74"/>
        <v/>
      </c>
      <c r="B561" s="37" t="str">
        <f t="shared" si="75"/>
        <v/>
      </c>
      <c r="C561" s="37" t="str">
        <f t="shared" si="76"/>
        <v/>
      </c>
      <c r="D561" s="37" t="str">
        <f t="shared" si="77"/>
        <v/>
      </c>
    </row>
    <row r="562" spans="1:4" ht="15.75" hidden="1" thickBot="1">
      <c r="A562" s="30" t="str">
        <f t="shared" si="74"/>
        <v/>
      </c>
      <c r="B562" s="37" t="str">
        <f t="shared" si="75"/>
        <v/>
      </c>
      <c r="C562" s="37" t="str">
        <f t="shared" si="76"/>
        <v/>
      </c>
      <c r="D562" s="37" t="str">
        <f t="shared" si="77"/>
        <v/>
      </c>
    </row>
    <row r="563" spans="1:4" ht="15.75" hidden="1" thickBot="1">
      <c r="A563" s="30" t="str">
        <f t="shared" si="74"/>
        <v/>
      </c>
      <c r="B563" s="37" t="str">
        <f t="shared" si="75"/>
        <v/>
      </c>
      <c r="C563" s="37" t="str">
        <f t="shared" si="76"/>
        <v/>
      </c>
      <c r="D563" s="37" t="str">
        <f t="shared" si="77"/>
        <v/>
      </c>
    </row>
    <row r="564" spans="1:4" ht="15.75" hidden="1" thickBot="1">
      <c r="A564" s="30" t="str">
        <f t="shared" si="74"/>
        <v/>
      </c>
      <c r="B564" s="37" t="str">
        <f t="shared" si="75"/>
        <v/>
      </c>
      <c r="C564" s="37" t="str">
        <f t="shared" si="76"/>
        <v/>
      </c>
      <c r="D564" s="37" t="str">
        <f t="shared" si="77"/>
        <v/>
      </c>
    </row>
    <row r="565" spans="1:4" ht="15.75" hidden="1" thickBot="1">
      <c r="A565" s="30" t="str">
        <f t="shared" si="74"/>
        <v/>
      </c>
      <c r="B565" s="37" t="str">
        <f t="shared" si="75"/>
        <v/>
      </c>
      <c r="C565" s="37" t="str">
        <f t="shared" si="76"/>
        <v/>
      </c>
      <c r="D565" s="37" t="str">
        <f t="shared" si="77"/>
        <v/>
      </c>
    </row>
    <row r="566" spans="1:4" ht="15.75" hidden="1" thickBot="1">
      <c r="A566" s="30" t="str">
        <f t="shared" si="74"/>
        <v/>
      </c>
      <c r="B566" s="37" t="str">
        <f t="shared" si="75"/>
        <v/>
      </c>
      <c r="C566" s="37" t="str">
        <f t="shared" si="76"/>
        <v/>
      </c>
      <c r="D566" s="37" t="str">
        <f t="shared" si="77"/>
        <v/>
      </c>
    </row>
    <row r="567" spans="1:4" ht="15.75" hidden="1" thickBot="1">
      <c r="A567" s="30" t="str">
        <f t="shared" si="74"/>
        <v/>
      </c>
      <c r="B567" s="37" t="str">
        <f t="shared" si="75"/>
        <v/>
      </c>
      <c r="C567" s="37" t="str">
        <f t="shared" si="76"/>
        <v/>
      </c>
      <c r="D567" s="37" t="str">
        <f t="shared" si="77"/>
        <v/>
      </c>
    </row>
    <row r="568" spans="1:4" ht="15.75" hidden="1" thickBot="1">
      <c r="A568" s="30" t="str">
        <f t="shared" si="74"/>
        <v/>
      </c>
      <c r="B568" s="37" t="str">
        <f t="shared" si="75"/>
        <v/>
      </c>
      <c r="C568" s="37" t="str">
        <f t="shared" si="76"/>
        <v/>
      </c>
      <c r="D568" s="37" t="str">
        <f t="shared" si="77"/>
        <v/>
      </c>
    </row>
    <row r="569" spans="1:4" ht="15.75" hidden="1" thickBot="1">
      <c r="A569" s="30" t="str">
        <f t="shared" si="74"/>
        <v/>
      </c>
      <c r="B569" s="37" t="str">
        <f t="shared" si="75"/>
        <v/>
      </c>
      <c r="C569" s="37" t="str">
        <f t="shared" si="76"/>
        <v/>
      </c>
      <c r="D569" s="37" t="str">
        <f t="shared" si="77"/>
        <v/>
      </c>
    </row>
    <row r="570" spans="1:4" ht="15.75" hidden="1" thickBot="1">
      <c r="A570" s="30" t="str">
        <f t="shared" ref="A570:A596" si="78">A71</f>
        <v/>
      </c>
      <c r="B570" s="37" t="str">
        <f t="shared" si="75"/>
        <v/>
      </c>
      <c r="C570" s="37" t="str">
        <f t="shared" si="76"/>
        <v/>
      </c>
      <c r="D570" s="37" t="str">
        <f t="shared" si="77"/>
        <v/>
      </c>
    </row>
    <row r="571" spans="1:4" ht="15.75" hidden="1" thickBot="1">
      <c r="A571" s="30" t="str">
        <f t="shared" si="78"/>
        <v/>
      </c>
      <c r="B571" s="37" t="str">
        <f t="shared" ref="B571:B597" si="79">IFERROR(INDEX($B$7:$D$98,MATCH(INDEX($A$112:$A$203,MATCH(SMALL($T$112:$T$203,$A571),$T$112:$T$203,0)),$A$7:$A$98,0),1),"")</f>
        <v/>
      </c>
      <c r="C571" s="37" t="str">
        <f t="shared" ref="C571:C597" si="80">IFERROR(INDEX($B$7:$D$98,MATCH(INDEX($A$112:$A$203,MATCH(SMALL($T$112:$T$203,$A571),$T$112:$T$203,0)),$A$7:$A$98,0),2),"")</f>
        <v/>
      </c>
      <c r="D571" s="37" t="str">
        <f t="shared" ref="D571:D597" si="81">IFERROR(INDEX($B$7:$D$98,MATCH(INDEX($A$112:$A$203,MATCH(SMALL($T$112:$T$203,$A571),$T$112:$T$203,0)),$A$7:$A$98,0),3),"")</f>
        <v/>
      </c>
    </row>
    <row r="572" spans="1:4" ht="15.75" hidden="1" thickBot="1">
      <c r="A572" s="30" t="str">
        <f t="shared" si="78"/>
        <v/>
      </c>
      <c r="B572" s="37" t="str">
        <f t="shared" si="79"/>
        <v/>
      </c>
      <c r="C572" s="37" t="str">
        <f t="shared" si="80"/>
        <v/>
      </c>
      <c r="D572" s="37" t="str">
        <f t="shared" si="81"/>
        <v/>
      </c>
    </row>
    <row r="573" spans="1:4" ht="15.75" hidden="1" thickBot="1">
      <c r="A573" s="30" t="str">
        <f t="shared" si="78"/>
        <v/>
      </c>
      <c r="B573" s="37" t="str">
        <f t="shared" si="79"/>
        <v/>
      </c>
      <c r="C573" s="37" t="str">
        <f t="shared" si="80"/>
        <v/>
      </c>
      <c r="D573" s="37" t="str">
        <f t="shared" si="81"/>
        <v/>
      </c>
    </row>
    <row r="574" spans="1:4" ht="15.75" hidden="1" thickBot="1">
      <c r="A574" s="30" t="str">
        <f t="shared" si="78"/>
        <v/>
      </c>
      <c r="B574" s="37" t="str">
        <f t="shared" si="79"/>
        <v/>
      </c>
      <c r="C574" s="37" t="str">
        <f t="shared" si="80"/>
        <v/>
      </c>
      <c r="D574" s="37" t="str">
        <f t="shared" si="81"/>
        <v/>
      </c>
    </row>
    <row r="575" spans="1:4" ht="15.75" hidden="1" thickBot="1">
      <c r="A575" s="30" t="str">
        <f t="shared" si="78"/>
        <v/>
      </c>
      <c r="B575" s="37" t="str">
        <f t="shared" si="79"/>
        <v/>
      </c>
      <c r="C575" s="37" t="str">
        <f t="shared" si="80"/>
        <v/>
      </c>
      <c r="D575" s="37" t="str">
        <f t="shared" si="81"/>
        <v/>
      </c>
    </row>
    <row r="576" spans="1:4" ht="15.75" hidden="1" thickBot="1">
      <c r="A576" s="30" t="str">
        <f t="shared" si="78"/>
        <v/>
      </c>
      <c r="B576" s="37" t="str">
        <f t="shared" si="79"/>
        <v/>
      </c>
      <c r="C576" s="37" t="str">
        <f t="shared" si="80"/>
        <v/>
      </c>
      <c r="D576" s="37" t="str">
        <f t="shared" si="81"/>
        <v/>
      </c>
    </row>
    <row r="577" spans="1:4" ht="15.75" hidden="1" thickBot="1">
      <c r="A577" s="30" t="str">
        <f t="shared" si="78"/>
        <v/>
      </c>
      <c r="B577" s="37" t="str">
        <f t="shared" si="79"/>
        <v/>
      </c>
      <c r="C577" s="37" t="str">
        <f t="shared" si="80"/>
        <v/>
      </c>
      <c r="D577" s="37" t="str">
        <f t="shared" si="81"/>
        <v/>
      </c>
    </row>
    <row r="578" spans="1:4" ht="15.75" hidden="1" thickBot="1">
      <c r="A578" s="30" t="str">
        <f t="shared" si="78"/>
        <v/>
      </c>
      <c r="B578" s="37" t="str">
        <f t="shared" si="79"/>
        <v/>
      </c>
      <c r="C578" s="37" t="str">
        <f t="shared" si="80"/>
        <v/>
      </c>
      <c r="D578" s="37" t="str">
        <f t="shared" si="81"/>
        <v/>
      </c>
    </row>
    <row r="579" spans="1:4" ht="15.75" hidden="1" thickBot="1">
      <c r="A579" s="30" t="str">
        <f t="shared" si="78"/>
        <v/>
      </c>
      <c r="B579" s="37" t="str">
        <f t="shared" si="79"/>
        <v/>
      </c>
      <c r="C579" s="37" t="str">
        <f t="shared" si="80"/>
        <v/>
      </c>
      <c r="D579" s="37" t="str">
        <f t="shared" si="81"/>
        <v/>
      </c>
    </row>
    <row r="580" spans="1:4" ht="15.75" hidden="1" thickBot="1">
      <c r="A580" s="30" t="str">
        <f t="shared" si="78"/>
        <v/>
      </c>
      <c r="B580" s="37" t="str">
        <f t="shared" si="79"/>
        <v/>
      </c>
      <c r="C580" s="37" t="str">
        <f t="shared" si="80"/>
        <v/>
      </c>
      <c r="D580" s="37" t="str">
        <f t="shared" si="81"/>
        <v/>
      </c>
    </row>
    <row r="581" spans="1:4" ht="15.75" hidden="1" thickBot="1">
      <c r="A581" s="30" t="str">
        <f t="shared" si="78"/>
        <v/>
      </c>
      <c r="B581" s="37" t="str">
        <f t="shared" si="79"/>
        <v/>
      </c>
      <c r="C581" s="37" t="str">
        <f t="shared" si="80"/>
        <v/>
      </c>
      <c r="D581" s="37" t="str">
        <f t="shared" si="81"/>
        <v/>
      </c>
    </row>
    <row r="582" spans="1:4" ht="15.75" hidden="1" thickBot="1">
      <c r="A582" s="30" t="str">
        <f t="shared" si="78"/>
        <v/>
      </c>
      <c r="B582" s="37" t="str">
        <f t="shared" si="79"/>
        <v/>
      </c>
      <c r="C582" s="37" t="str">
        <f t="shared" si="80"/>
        <v/>
      </c>
      <c r="D582" s="37" t="str">
        <f t="shared" si="81"/>
        <v/>
      </c>
    </row>
    <row r="583" spans="1:4" ht="15.75" hidden="1" thickBot="1">
      <c r="A583" s="30" t="str">
        <f t="shared" si="78"/>
        <v/>
      </c>
      <c r="B583" s="37" t="str">
        <f t="shared" si="79"/>
        <v/>
      </c>
      <c r="C583" s="37" t="str">
        <f t="shared" si="80"/>
        <v/>
      </c>
      <c r="D583" s="37" t="str">
        <f t="shared" si="81"/>
        <v/>
      </c>
    </row>
    <row r="584" spans="1:4" ht="15.75" hidden="1" thickBot="1">
      <c r="A584" s="30" t="str">
        <f t="shared" si="78"/>
        <v/>
      </c>
      <c r="B584" s="37" t="str">
        <f t="shared" si="79"/>
        <v/>
      </c>
      <c r="C584" s="37" t="str">
        <f t="shared" si="80"/>
        <v/>
      </c>
      <c r="D584" s="37" t="str">
        <f t="shared" si="81"/>
        <v/>
      </c>
    </row>
    <row r="585" spans="1:4" ht="15.75" hidden="1" thickBot="1">
      <c r="A585" s="30" t="str">
        <f t="shared" si="78"/>
        <v/>
      </c>
      <c r="B585" s="37" t="str">
        <f t="shared" si="79"/>
        <v/>
      </c>
      <c r="C585" s="37" t="str">
        <f t="shared" si="80"/>
        <v/>
      </c>
      <c r="D585" s="37" t="str">
        <f t="shared" si="81"/>
        <v/>
      </c>
    </row>
    <row r="586" spans="1:4" ht="15.75" hidden="1" thickBot="1">
      <c r="A586" s="30" t="str">
        <f t="shared" si="78"/>
        <v/>
      </c>
      <c r="B586" s="37" t="str">
        <f t="shared" si="79"/>
        <v/>
      </c>
      <c r="C586" s="37" t="str">
        <f t="shared" si="80"/>
        <v/>
      </c>
      <c r="D586" s="37" t="str">
        <f t="shared" si="81"/>
        <v/>
      </c>
    </row>
    <row r="587" spans="1:4" ht="15.75" hidden="1" thickBot="1">
      <c r="A587" s="30" t="str">
        <f t="shared" si="78"/>
        <v/>
      </c>
      <c r="B587" s="37" t="str">
        <f t="shared" si="79"/>
        <v/>
      </c>
      <c r="C587" s="37" t="str">
        <f t="shared" si="80"/>
        <v/>
      </c>
      <c r="D587" s="37" t="str">
        <f t="shared" si="81"/>
        <v/>
      </c>
    </row>
    <row r="588" spans="1:4" ht="15.75" hidden="1" thickBot="1">
      <c r="A588" s="30" t="str">
        <f t="shared" si="78"/>
        <v/>
      </c>
      <c r="B588" s="37" t="str">
        <f t="shared" si="79"/>
        <v/>
      </c>
      <c r="C588" s="37" t="str">
        <f t="shared" si="80"/>
        <v/>
      </c>
      <c r="D588" s="37" t="str">
        <f t="shared" si="81"/>
        <v/>
      </c>
    </row>
    <row r="589" spans="1:4" ht="15.75" hidden="1" thickBot="1">
      <c r="A589" s="30" t="str">
        <f t="shared" si="78"/>
        <v/>
      </c>
      <c r="B589" s="37" t="str">
        <f t="shared" si="79"/>
        <v/>
      </c>
      <c r="C589" s="37" t="str">
        <f t="shared" si="80"/>
        <v/>
      </c>
      <c r="D589" s="37" t="str">
        <f t="shared" si="81"/>
        <v/>
      </c>
    </row>
    <row r="590" spans="1:4" ht="15.75" hidden="1" thickBot="1">
      <c r="A590" s="30" t="str">
        <f t="shared" si="78"/>
        <v/>
      </c>
      <c r="B590" s="37" t="str">
        <f t="shared" si="79"/>
        <v/>
      </c>
      <c r="C590" s="37" t="str">
        <f t="shared" si="80"/>
        <v/>
      </c>
      <c r="D590" s="37" t="str">
        <f t="shared" si="81"/>
        <v/>
      </c>
    </row>
    <row r="591" spans="1:4" ht="15.75" hidden="1" thickBot="1">
      <c r="A591" s="30" t="str">
        <f t="shared" si="78"/>
        <v/>
      </c>
      <c r="B591" s="37" t="str">
        <f t="shared" si="79"/>
        <v/>
      </c>
      <c r="C591" s="37" t="str">
        <f t="shared" si="80"/>
        <v/>
      </c>
      <c r="D591" s="37" t="str">
        <f t="shared" si="81"/>
        <v/>
      </c>
    </row>
    <row r="592" spans="1:4" ht="15.75" hidden="1" thickBot="1">
      <c r="A592" s="30" t="str">
        <f t="shared" si="78"/>
        <v/>
      </c>
      <c r="B592" s="37" t="str">
        <f t="shared" si="79"/>
        <v/>
      </c>
      <c r="C592" s="37" t="str">
        <f t="shared" si="80"/>
        <v/>
      </c>
      <c r="D592" s="37" t="str">
        <f t="shared" si="81"/>
        <v/>
      </c>
    </row>
    <row r="593" spans="1:4" ht="15.75" hidden="1" thickBot="1">
      <c r="A593" s="30" t="str">
        <f t="shared" si="78"/>
        <v/>
      </c>
      <c r="B593" s="37" t="str">
        <f t="shared" si="79"/>
        <v/>
      </c>
      <c r="C593" s="37" t="str">
        <f t="shared" si="80"/>
        <v/>
      </c>
      <c r="D593" s="37" t="str">
        <f t="shared" si="81"/>
        <v/>
      </c>
    </row>
    <row r="594" spans="1:4" ht="15.75" hidden="1" thickBot="1">
      <c r="A594" s="30" t="str">
        <f t="shared" si="78"/>
        <v/>
      </c>
      <c r="B594" s="37" t="str">
        <f t="shared" si="79"/>
        <v/>
      </c>
      <c r="C594" s="37" t="str">
        <f t="shared" si="80"/>
        <v/>
      </c>
      <c r="D594" s="37" t="str">
        <f t="shared" si="81"/>
        <v/>
      </c>
    </row>
    <row r="595" spans="1:4" ht="15.75" hidden="1" thickBot="1">
      <c r="A595" s="30" t="str">
        <f t="shared" si="78"/>
        <v/>
      </c>
      <c r="B595" s="37" t="str">
        <f t="shared" si="79"/>
        <v/>
      </c>
      <c r="C595" s="37" t="str">
        <f t="shared" si="80"/>
        <v/>
      </c>
      <c r="D595" s="37" t="str">
        <f t="shared" si="81"/>
        <v/>
      </c>
    </row>
    <row r="596" spans="1:4" ht="15.75" hidden="1" thickBot="1">
      <c r="A596" s="30" t="str">
        <f t="shared" si="78"/>
        <v/>
      </c>
      <c r="B596" s="37" t="str">
        <f t="shared" si="79"/>
        <v/>
      </c>
      <c r="C596" s="37" t="str">
        <f t="shared" si="80"/>
        <v/>
      </c>
      <c r="D596" s="37" t="str">
        <f t="shared" si="81"/>
        <v/>
      </c>
    </row>
    <row r="597" spans="1:4" ht="15.75" hidden="1" thickBot="1">
      <c r="A597" s="30" t="str">
        <f>A98</f>
        <v/>
      </c>
      <c r="B597" s="37" t="str">
        <f t="shared" si="79"/>
        <v/>
      </c>
      <c r="C597" s="37" t="str">
        <f t="shared" si="80"/>
        <v/>
      </c>
      <c r="D597" s="37" t="str">
        <f t="shared" si="81"/>
        <v/>
      </c>
    </row>
    <row r="598" spans="1:4" ht="15.75" hidden="1" thickBot="1"/>
    <row r="599" spans="1:4" ht="15.75" hidden="1" thickBot="1">
      <c r="A599" s="30"/>
      <c r="B599" s="67" t="str">
        <f>M110</f>
        <v>Empresa 5</v>
      </c>
      <c r="C599" s="107"/>
      <c r="D599" s="68"/>
    </row>
    <row r="600" spans="1:4" hidden="1">
      <c r="A600" s="30"/>
      <c r="B600" s="59" t="s">
        <v>1</v>
      </c>
      <c r="C600" s="59" t="s">
        <v>2</v>
      </c>
      <c r="D600" s="59" t="s">
        <v>8</v>
      </c>
    </row>
    <row r="601" spans="1:4" hidden="1">
      <c r="A601" s="30"/>
      <c r="B601" s="60"/>
      <c r="C601" s="60"/>
      <c r="D601" s="60"/>
    </row>
    <row r="602" spans="1:4" ht="15.75" hidden="1" thickBot="1">
      <c r="A602" s="30"/>
      <c r="B602" s="61"/>
      <c r="C602" s="61"/>
      <c r="D602" s="61"/>
    </row>
    <row r="603" spans="1:4" ht="15.75" hidden="1" thickBot="1">
      <c r="A603" s="30" t="str">
        <f t="shared" ref="A603:A666" si="82">A7</f>
        <v/>
      </c>
      <c r="B603" s="37" t="str">
        <f>IFERROR(INDEX($B$7:$D$98,MATCH(INDEX($A$112:$A$203,MATCH(SMALL($U$112:$U$203,$A603),$U$112:$U$203,0)),$A$7:$A$98,0),1),"")</f>
        <v/>
      </c>
      <c r="C603" s="37" t="str">
        <f>IFERROR(INDEX($B$7:$D$98,MATCH(INDEX($A$112:$A$203,MATCH(SMALL($U$112:$U$203,$A603),$U$112:$U$203,0)),$A$7:$A$98,0),2),"")</f>
        <v/>
      </c>
      <c r="D603" s="37" t="str">
        <f>IFERROR(INDEX($B$7:$D$98,MATCH(INDEX($A$112:$A$203,MATCH(SMALL($U$112:$U$203,$A603),$U$112:$U$203,0)),$A$7:$A$98,0),3),"")</f>
        <v/>
      </c>
    </row>
    <row r="604" spans="1:4" ht="15.75" hidden="1" thickBot="1">
      <c r="A604" s="30" t="str">
        <f t="shared" si="82"/>
        <v/>
      </c>
      <c r="B604" s="37" t="str">
        <f t="shared" ref="B604:B667" si="83">IFERROR(INDEX($B$7:$D$98,MATCH(INDEX($A$112:$A$203,MATCH(SMALL($U$112:$U$203,$A604),$U$112:$U$203,0)),$A$7:$A$98,0),1),"")</f>
        <v/>
      </c>
      <c r="C604" s="37" t="str">
        <f t="shared" ref="C604:C667" si="84">IFERROR(INDEX($B$7:$D$98,MATCH(INDEX($A$112:$A$203,MATCH(SMALL($U$112:$U$203,$A604),$U$112:$U$203,0)),$A$7:$A$98,0),2),"")</f>
        <v/>
      </c>
      <c r="D604" s="37" t="str">
        <f t="shared" ref="D604:D667" si="85">IFERROR(INDEX($B$7:$D$98,MATCH(INDEX($A$112:$A$203,MATCH(SMALL($U$112:$U$203,$A604),$U$112:$U$203,0)),$A$7:$A$98,0),3),"")</f>
        <v/>
      </c>
    </row>
    <row r="605" spans="1:4" ht="15.75" hidden="1" thickBot="1">
      <c r="A605" s="30" t="str">
        <f t="shared" si="82"/>
        <v/>
      </c>
      <c r="B605" s="37" t="str">
        <f t="shared" si="83"/>
        <v/>
      </c>
      <c r="C605" s="37" t="str">
        <f t="shared" si="84"/>
        <v/>
      </c>
      <c r="D605" s="37" t="str">
        <f t="shared" si="85"/>
        <v/>
      </c>
    </row>
    <row r="606" spans="1:4" ht="15.75" hidden="1" thickBot="1">
      <c r="A606" s="30" t="str">
        <f t="shared" si="82"/>
        <v/>
      </c>
      <c r="B606" s="37" t="str">
        <f t="shared" si="83"/>
        <v/>
      </c>
      <c r="C606" s="37" t="str">
        <f t="shared" si="84"/>
        <v/>
      </c>
      <c r="D606" s="37" t="str">
        <f t="shared" si="85"/>
        <v/>
      </c>
    </row>
    <row r="607" spans="1:4" ht="15.75" hidden="1" thickBot="1">
      <c r="A607" s="30" t="str">
        <f t="shared" si="82"/>
        <v/>
      </c>
      <c r="B607" s="37" t="str">
        <f t="shared" si="83"/>
        <v/>
      </c>
      <c r="C607" s="37" t="str">
        <f t="shared" si="84"/>
        <v/>
      </c>
      <c r="D607" s="37" t="str">
        <f t="shared" si="85"/>
        <v/>
      </c>
    </row>
    <row r="608" spans="1:4" ht="15.75" hidden="1" thickBot="1">
      <c r="A608" s="30" t="str">
        <f t="shared" si="82"/>
        <v/>
      </c>
      <c r="B608" s="37" t="str">
        <f t="shared" si="83"/>
        <v/>
      </c>
      <c r="C608" s="37" t="str">
        <f t="shared" si="84"/>
        <v/>
      </c>
      <c r="D608" s="37" t="str">
        <f t="shared" si="85"/>
        <v/>
      </c>
    </row>
    <row r="609" spans="1:4" ht="15.75" hidden="1" thickBot="1">
      <c r="A609" s="30" t="str">
        <f t="shared" si="82"/>
        <v/>
      </c>
      <c r="B609" s="37" t="str">
        <f t="shared" si="83"/>
        <v/>
      </c>
      <c r="C609" s="37" t="str">
        <f t="shared" si="84"/>
        <v/>
      </c>
      <c r="D609" s="37" t="str">
        <f t="shared" si="85"/>
        <v/>
      </c>
    </row>
    <row r="610" spans="1:4" ht="15.75" hidden="1" thickBot="1">
      <c r="A610" s="30" t="str">
        <f t="shared" si="82"/>
        <v/>
      </c>
      <c r="B610" s="37" t="str">
        <f t="shared" si="83"/>
        <v/>
      </c>
      <c r="C610" s="37" t="str">
        <f t="shared" si="84"/>
        <v/>
      </c>
      <c r="D610" s="37" t="str">
        <f t="shared" si="85"/>
        <v/>
      </c>
    </row>
    <row r="611" spans="1:4" ht="15.75" hidden="1" thickBot="1">
      <c r="A611" s="30" t="str">
        <f t="shared" si="82"/>
        <v/>
      </c>
      <c r="B611" s="37" t="str">
        <f t="shared" si="83"/>
        <v/>
      </c>
      <c r="C611" s="37" t="str">
        <f t="shared" si="84"/>
        <v/>
      </c>
      <c r="D611" s="37" t="str">
        <f t="shared" si="85"/>
        <v/>
      </c>
    </row>
    <row r="612" spans="1:4" ht="15.75" hidden="1" thickBot="1">
      <c r="A612" s="30" t="str">
        <f t="shared" si="82"/>
        <v/>
      </c>
      <c r="B612" s="37" t="str">
        <f t="shared" si="83"/>
        <v/>
      </c>
      <c r="C612" s="37" t="str">
        <f t="shared" si="84"/>
        <v/>
      </c>
      <c r="D612" s="37" t="str">
        <f t="shared" si="85"/>
        <v/>
      </c>
    </row>
    <row r="613" spans="1:4" ht="15.75" hidden="1" thickBot="1">
      <c r="A613" s="30" t="str">
        <f t="shared" si="82"/>
        <v/>
      </c>
      <c r="B613" s="37" t="str">
        <f t="shared" si="83"/>
        <v/>
      </c>
      <c r="C613" s="37" t="str">
        <f t="shared" si="84"/>
        <v/>
      </c>
      <c r="D613" s="37" t="str">
        <f t="shared" si="85"/>
        <v/>
      </c>
    </row>
    <row r="614" spans="1:4" ht="15.75" hidden="1" thickBot="1">
      <c r="A614" s="30" t="str">
        <f t="shared" si="82"/>
        <v/>
      </c>
      <c r="B614" s="37" t="str">
        <f t="shared" si="83"/>
        <v/>
      </c>
      <c r="C614" s="37" t="str">
        <f t="shared" si="84"/>
        <v/>
      </c>
      <c r="D614" s="37" t="str">
        <f t="shared" si="85"/>
        <v/>
      </c>
    </row>
    <row r="615" spans="1:4" ht="15.75" hidden="1" thickBot="1">
      <c r="A615" s="30" t="str">
        <f t="shared" si="82"/>
        <v/>
      </c>
      <c r="B615" s="37" t="str">
        <f t="shared" si="83"/>
        <v/>
      </c>
      <c r="C615" s="37" t="str">
        <f t="shared" si="84"/>
        <v/>
      </c>
      <c r="D615" s="37" t="str">
        <f t="shared" si="85"/>
        <v/>
      </c>
    </row>
    <row r="616" spans="1:4" ht="15.75" hidden="1" thickBot="1">
      <c r="A616" s="30" t="str">
        <f t="shared" si="82"/>
        <v/>
      </c>
      <c r="B616" s="37" t="str">
        <f t="shared" si="83"/>
        <v/>
      </c>
      <c r="C616" s="37" t="str">
        <f t="shared" si="84"/>
        <v/>
      </c>
      <c r="D616" s="37" t="str">
        <f t="shared" si="85"/>
        <v/>
      </c>
    </row>
    <row r="617" spans="1:4" ht="15.75" hidden="1" thickBot="1">
      <c r="A617" s="30" t="str">
        <f t="shared" si="82"/>
        <v/>
      </c>
      <c r="B617" s="37" t="str">
        <f t="shared" si="83"/>
        <v/>
      </c>
      <c r="C617" s="37" t="str">
        <f t="shared" si="84"/>
        <v/>
      </c>
      <c r="D617" s="37" t="str">
        <f t="shared" si="85"/>
        <v/>
      </c>
    </row>
    <row r="618" spans="1:4" ht="15.75" hidden="1" thickBot="1">
      <c r="A618" s="30" t="str">
        <f t="shared" si="82"/>
        <v/>
      </c>
      <c r="B618" s="37" t="str">
        <f t="shared" si="83"/>
        <v/>
      </c>
      <c r="C618" s="37" t="str">
        <f t="shared" si="84"/>
        <v/>
      </c>
      <c r="D618" s="37" t="str">
        <f t="shared" si="85"/>
        <v/>
      </c>
    </row>
    <row r="619" spans="1:4" ht="15.75" hidden="1" thickBot="1">
      <c r="A619" s="30" t="str">
        <f t="shared" si="82"/>
        <v/>
      </c>
      <c r="B619" s="37" t="str">
        <f t="shared" si="83"/>
        <v/>
      </c>
      <c r="C619" s="37" t="str">
        <f t="shared" si="84"/>
        <v/>
      </c>
      <c r="D619" s="37" t="str">
        <f t="shared" si="85"/>
        <v/>
      </c>
    </row>
    <row r="620" spans="1:4" ht="15.75" hidden="1" thickBot="1">
      <c r="A620" s="30" t="str">
        <f t="shared" si="82"/>
        <v/>
      </c>
      <c r="B620" s="37" t="str">
        <f t="shared" si="83"/>
        <v/>
      </c>
      <c r="C620" s="37" t="str">
        <f t="shared" si="84"/>
        <v/>
      </c>
      <c r="D620" s="37" t="str">
        <f t="shared" si="85"/>
        <v/>
      </c>
    </row>
    <row r="621" spans="1:4" ht="15.75" hidden="1" thickBot="1">
      <c r="A621" s="30" t="str">
        <f t="shared" si="82"/>
        <v/>
      </c>
      <c r="B621" s="37" t="str">
        <f t="shared" si="83"/>
        <v/>
      </c>
      <c r="C621" s="37" t="str">
        <f t="shared" si="84"/>
        <v/>
      </c>
      <c r="D621" s="37" t="str">
        <f t="shared" si="85"/>
        <v/>
      </c>
    </row>
    <row r="622" spans="1:4" ht="15.75" hidden="1" thickBot="1">
      <c r="A622" s="30" t="str">
        <f t="shared" si="82"/>
        <v/>
      </c>
      <c r="B622" s="37" t="str">
        <f t="shared" si="83"/>
        <v/>
      </c>
      <c r="C622" s="37" t="str">
        <f t="shared" si="84"/>
        <v/>
      </c>
      <c r="D622" s="37" t="str">
        <f t="shared" si="85"/>
        <v/>
      </c>
    </row>
    <row r="623" spans="1:4" ht="15.75" hidden="1" thickBot="1">
      <c r="A623" s="30" t="str">
        <f t="shared" si="82"/>
        <v/>
      </c>
      <c r="B623" s="37" t="str">
        <f t="shared" si="83"/>
        <v/>
      </c>
      <c r="C623" s="37" t="str">
        <f t="shared" si="84"/>
        <v/>
      </c>
      <c r="D623" s="37" t="str">
        <f t="shared" si="85"/>
        <v/>
      </c>
    </row>
    <row r="624" spans="1:4" ht="15.75" hidden="1" thickBot="1">
      <c r="A624" s="30" t="str">
        <f t="shared" si="82"/>
        <v/>
      </c>
      <c r="B624" s="37" t="str">
        <f t="shared" si="83"/>
        <v/>
      </c>
      <c r="C624" s="37" t="str">
        <f t="shared" si="84"/>
        <v/>
      </c>
      <c r="D624" s="37" t="str">
        <f t="shared" si="85"/>
        <v/>
      </c>
    </row>
    <row r="625" spans="1:4" ht="15.75" hidden="1" thickBot="1">
      <c r="A625" s="30" t="str">
        <f t="shared" si="82"/>
        <v/>
      </c>
      <c r="B625" s="37" t="str">
        <f t="shared" si="83"/>
        <v/>
      </c>
      <c r="C625" s="37" t="str">
        <f t="shared" si="84"/>
        <v/>
      </c>
      <c r="D625" s="37" t="str">
        <f t="shared" si="85"/>
        <v/>
      </c>
    </row>
    <row r="626" spans="1:4" ht="15.75" hidden="1" thickBot="1">
      <c r="A626" s="30" t="str">
        <f t="shared" si="82"/>
        <v/>
      </c>
      <c r="B626" s="37" t="str">
        <f t="shared" si="83"/>
        <v/>
      </c>
      <c r="C626" s="37" t="str">
        <f t="shared" si="84"/>
        <v/>
      </c>
      <c r="D626" s="37" t="str">
        <f t="shared" si="85"/>
        <v/>
      </c>
    </row>
    <row r="627" spans="1:4" ht="15.75" hidden="1" thickBot="1">
      <c r="A627" s="30" t="str">
        <f t="shared" si="82"/>
        <v/>
      </c>
      <c r="B627" s="37" t="str">
        <f t="shared" si="83"/>
        <v/>
      </c>
      <c r="C627" s="37" t="str">
        <f t="shared" si="84"/>
        <v/>
      </c>
      <c r="D627" s="37" t="str">
        <f t="shared" si="85"/>
        <v/>
      </c>
    </row>
    <row r="628" spans="1:4" ht="15.75" hidden="1" thickBot="1">
      <c r="A628" s="30" t="str">
        <f t="shared" si="82"/>
        <v/>
      </c>
      <c r="B628" s="37" t="str">
        <f t="shared" si="83"/>
        <v/>
      </c>
      <c r="C628" s="37" t="str">
        <f t="shared" si="84"/>
        <v/>
      </c>
      <c r="D628" s="37" t="str">
        <f t="shared" si="85"/>
        <v/>
      </c>
    </row>
    <row r="629" spans="1:4" ht="15.75" hidden="1" thickBot="1">
      <c r="A629" s="30" t="str">
        <f t="shared" si="82"/>
        <v/>
      </c>
      <c r="B629" s="37" t="str">
        <f t="shared" si="83"/>
        <v/>
      </c>
      <c r="C629" s="37" t="str">
        <f t="shared" si="84"/>
        <v/>
      </c>
      <c r="D629" s="37" t="str">
        <f t="shared" si="85"/>
        <v/>
      </c>
    </row>
    <row r="630" spans="1:4" ht="15.75" hidden="1" thickBot="1">
      <c r="A630" s="30" t="str">
        <f t="shared" si="82"/>
        <v/>
      </c>
      <c r="B630" s="37" t="str">
        <f t="shared" si="83"/>
        <v/>
      </c>
      <c r="C630" s="37" t="str">
        <f t="shared" si="84"/>
        <v/>
      </c>
      <c r="D630" s="37" t="str">
        <f t="shared" si="85"/>
        <v/>
      </c>
    </row>
    <row r="631" spans="1:4" ht="15.75" hidden="1" thickBot="1">
      <c r="A631" s="30" t="str">
        <f t="shared" si="82"/>
        <v/>
      </c>
      <c r="B631" s="37" t="str">
        <f t="shared" si="83"/>
        <v/>
      </c>
      <c r="C631" s="37" t="str">
        <f t="shared" si="84"/>
        <v/>
      </c>
      <c r="D631" s="37" t="str">
        <f t="shared" si="85"/>
        <v/>
      </c>
    </row>
    <row r="632" spans="1:4" ht="15.75" hidden="1" thickBot="1">
      <c r="A632" s="30" t="str">
        <f t="shared" si="82"/>
        <v/>
      </c>
      <c r="B632" s="37" t="str">
        <f t="shared" si="83"/>
        <v/>
      </c>
      <c r="C632" s="37" t="str">
        <f t="shared" si="84"/>
        <v/>
      </c>
      <c r="D632" s="37" t="str">
        <f t="shared" si="85"/>
        <v/>
      </c>
    </row>
    <row r="633" spans="1:4" ht="15.75" hidden="1" thickBot="1">
      <c r="A633" s="30" t="str">
        <f t="shared" si="82"/>
        <v/>
      </c>
      <c r="B633" s="37" t="str">
        <f t="shared" si="83"/>
        <v/>
      </c>
      <c r="C633" s="37" t="str">
        <f t="shared" si="84"/>
        <v/>
      </c>
      <c r="D633" s="37" t="str">
        <f t="shared" si="85"/>
        <v/>
      </c>
    </row>
    <row r="634" spans="1:4" ht="15.75" hidden="1" thickBot="1">
      <c r="A634" s="30" t="str">
        <f t="shared" si="82"/>
        <v/>
      </c>
      <c r="B634" s="37" t="str">
        <f t="shared" si="83"/>
        <v/>
      </c>
      <c r="C634" s="37" t="str">
        <f t="shared" si="84"/>
        <v/>
      </c>
      <c r="D634" s="37" t="str">
        <f t="shared" si="85"/>
        <v/>
      </c>
    </row>
    <row r="635" spans="1:4" ht="15.75" hidden="1" thickBot="1">
      <c r="A635" s="30" t="str">
        <f t="shared" si="82"/>
        <v/>
      </c>
      <c r="B635" s="37" t="str">
        <f t="shared" si="83"/>
        <v/>
      </c>
      <c r="C635" s="37" t="str">
        <f t="shared" si="84"/>
        <v/>
      </c>
      <c r="D635" s="37" t="str">
        <f t="shared" si="85"/>
        <v/>
      </c>
    </row>
    <row r="636" spans="1:4" ht="15.75" hidden="1" thickBot="1">
      <c r="A636" s="30" t="str">
        <f t="shared" si="82"/>
        <v/>
      </c>
      <c r="B636" s="37" t="str">
        <f t="shared" si="83"/>
        <v/>
      </c>
      <c r="C636" s="37" t="str">
        <f t="shared" si="84"/>
        <v/>
      </c>
      <c r="D636" s="37" t="str">
        <f t="shared" si="85"/>
        <v/>
      </c>
    </row>
    <row r="637" spans="1:4" ht="15.75" hidden="1" thickBot="1">
      <c r="A637" s="30" t="str">
        <f t="shared" si="82"/>
        <v/>
      </c>
      <c r="B637" s="37" t="str">
        <f t="shared" si="83"/>
        <v/>
      </c>
      <c r="C637" s="37" t="str">
        <f t="shared" si="84"/>
        <v/>
      </c>
      <c r="D637" s="37" t="str">
        <f t="shared" si="85"/>
        <v/>
      </c>
    </row>
    <row r="638" spans="1:4" ht="15.75" hidden="1" thickBot="1">
      <c r="A638" s="30" t="str">
        <f t="shared" si="82"/>
        <v/>
      </c>
      <c r="B638" s="37" t="str">
        <f t="shared" si="83"/>
        <v/>
      </c>
      <c r="C638" s="37" t="str">
        <f t="shared" si="84"/>
        <v/>
      </c>
      <c r="D638" s="37" t="str">
        <f t="shared" si="85"/>
        <v/>
      </c>
    </row>
    <row r="639" spans="1:4" ht="15.75" hidden="1" thickBot="1">
      <c r="A639" s="30" t="str">
        <f t="shared" si="82"/>
        <v/>
      </c>
      <c r="B639" s="37" t="str">
        <f t="shared" si="83"/>
        <v/>
      </c>
      <c r="C639" s="37" t="str">
        <f t="shared" si="84"/>
        <v/>
      </c>
      <c r="D639" s="37" t="str">
        <f t="shared" si="85"/>
        <v/>
      </c>
    </row>
    <row r="640" spans="1:4" ht="15.75" hidden="1" thickBot="1">
      <c r="A640" s="30" t="str">
        <f t="shared" si="82"/>
        <v/>
      </c>
      <c r="B640" s="37" t="str">
        <f t="shared" si="83"/>
        <v/>
      </c>
      <c r="C640" s="37" t="str">
        <f t="shared" si="84"/>
        <v/>
      </c>
      <c r="D640" s="37" t="str">
        <f t="shared" si="85"/>
        <v/>
      </c>
    </row>
    <row r="641" spans="1:4" ht="15.75" hidden="1" thickBot="1">
      <c r="A641" s="30" t="str">
        <f t="shared" si="82"/>
        <v/>
      </c>
      <c r="B641" s="37" t="str">
        <f t="shared" si="83"/>
        <v/>
      </c>
      <c r="C641" s="37" t="str">
        <f t="shared" si="84"/>
        <v/>
      </c>
      <c r="D641" s="37" t="str">
        <f t="shared" si="85"/>
        <v/>
      </c>
    </row>
    <row r="642" spans="1:4" ht="15.75" hidden="1" thickBot="1">
      <c r="A642" s="30" t="str">
        <f t="shared" si="82"/>
        <v/>
      </c>
      <c r="B642" s="37" t="str">
        <f t="shared" si="83"/>
        <v/>
      </c>
      <c r="C642" s="37" t="str">
        <f t="shared" si="84"/>
        <v/>
      </c>
      <c r="D642" s="37" t="str">
        <f t="shared" si="85"/>
        <v/>
      </c>
    </row>
    <row r="643" spans="1:4" ht="15.75" hidden="1" thickBot="1">
      <c r="A643" s="30" t="str">
        <f t="shared" si="82"/>
        <v/>
      </c>
      <c r="B643" s="37" t="str">
        <f t="shared" si="83"/>
        <v/>
      </c>
      <c r="C643" s="37" t="str">
        <f t="shared" si="84"/>
        <v/>
      </c>
      <c r="D643" s="37" t="str">
        <f t="shared" si="85"/>
        <v/>
      </c>
    </row>
    <row r="644" spans="1:4" ht="15.75" hidden="1" thickBot="1">
      <c r="A644" s="30" t="str">
        <f t="shared" si="82"/>
        <v/>
      </c>
      <c r="B644" s="37" t="str">
        <f t="shared" si="83"/>
        <v/>
      </c>
      <c r="C644" s="37" t="str">
        <f t="shared" si="84"/>
        <v/>
      </c>
      <c r="D644" s="37" t="str">
        <f t="shared" si="85"/>
        <v/>
      </c>
    </row>
    <row r="645" spans="1:4" ht="15.75" hidden="1" thickBot="1">
      <c r="A645" s="30" t="str">
        <f t="shared" si="82"/>
        <v/>
      </c>
      <c r="B645" s="37" t="str">
        <f t="shared" si="83"/>
        <v/>
      </c>
      <c r="C645" s="37" t="str">
        <f t="shared" si="84"/>
        <v/>
      </c>
      <c r="D645" s="37" t="str">
        <f t="shared" si="85"/>
        <v/>
      </c>
    </row>
    <row r="646" spans="1:4" ht="15.75" hidden="1" thickBot="1">
      <c r="A646" s="30" t="str">
        <f t="shared" si="82"/>
        <v/>
      </c>
      <c r="B646" s="37" t="str">
        <f t="shared" si="83"/>
        <v/>
      </c>
      <c r="C646" s="37" t="str">
        <f t="shared" si="84"/>
        <v/>
      </c>
      <c r="D646" s="37" t="str">
        <f t="shared" si="85"/>
        <v/>
      </c>
    </row>
    <row r="647" spans="1:4" ht="15.75" hidden="1" thickBot="1">
      <c r="A647" s="30" t="str">
        <f t="shared" si="82"/>
        <v/>
      </c>
      <c r="B647" s="37" t="str">
        <f t="shared" si="83"/>
        <v/>
      </c>
      <c r="C647" s="37" t="str">
        <f t="shared" si="84"/>
        <v/>
      </c>
      <c r="D647" s="37" t="str">
        <f t="shared" si="85"/>
        <v/>
      </c>
    </row>
    <row r="648" spans="1:4" ht="15.75" hidden="1" thickBot="1">
      <c r="A648" s="30" t="str">
        <f t="shared" si="82"/>
        <v/>
      </c>
      <c r="B648" s="37" t="str">
        <f t="shared" si="83"/>
        <v/>
      </c>
      <c r="C648" s="37" t="str">
        <f t="shared" si="84"/>
        <v/>
      </c>
      <c r="D648" s="37" t="str">
        <f t="shared" si="85"/>
        <v/>
      </c>
    </row>
    <row r="649" spans="1:4" ht="15.75" hidden="1" thickBot="1">
      <c r="A649" s="30" t="str">
        <f t="shared" si="82"/>
        <v/>
      </c>
      <c r="B649" s="37" t="str">
        <f t="shared" si="83"/>
        <v/>
      </c>
      <c r="C649" s="37" t="str">
        <f t="shared" si="84"/>
        <v/>
      </c>
      <c r="D649" s="37" t="str">
        <f t="shared" si="85"/>
        <v/>
      </c>
    </row>
    <row r="650" spans="1:4" ht="15.75" hidden="1" thickBot="1">
      <c r="A650" s="30" t="str">
        <f t="shared" si="82"/>
        <v/>
      </c>
      <c r="B650" s="37" t="str">
        <f t="shared" si="83"/>
        <v/>
      </c>
      <c r="C650" s="37" t="str">
        <f t="shared" si="84"/>
        <v/>
      </c>
      <c r="D650" s="37" t="str">
        <f t="shared" si="85"/>
        <v/>
      </c>
    </row>
    <row r="651" spans="1:4" ht="15.75" hidden="1" thickBot="1">
      <c r="A651" s="30" t="str">
        <f t="shared" si="82"/>
        <v/>
      </c>
      <c r="B651" s="37" t="str">
        <f t="shared" si="83"/>
        <v/>
      </c>
      <c r="C651" s="37" t="str">
        <f t="shared" si="84"/>
        <v/>
      </c>
      <c r="D651" s="37" t="str">
        <f t="shared" si="85"/>
        <v/>
      </c>
    </row>
    <row r="652" spans="1:4" ht="15.75" hidden="1" thickBot="1">
      <c r="A652" s="30" t="str">
        <f t="shared" si="82"/>
        <v/>
      </c>
      <c r="B652" s="37" t="str">
        <f t="shared" si="83"/>
        <v/>
      </c>
      <c r="C652" s="37" t="str">
        <f t="shared" si="84"/>
        <v/>
      </c>
      <c r="D652" s="37" t="str">
        <f t="shared" si="85"/>
        <v/>
      </c>
    </row>
    <row r="653" spans="1:4" ht="15.75" hidden="1" thickBot="1">
      <c r="A653" s="30" t="str">
        <f t="shared" si="82"/>
        <v/>
      </c>
      <c r="B653" s="37" t="str">
        <f t="shared" si="83"/>
        <v/>
      </c>
      <c r="C653" s="37" t="str">
        <f t="shared" si="84"/>
        <v/>
      </c>
      <c r="D653" s="37" t="str">
        <f t="shared" si="85"/>
        <v/>
      </c>
    </row>
    <row r="654" spans="1:4" ht="15.75" hidden="1" thickBot="1">
      <c r="A654" s="30" t="str">
        <f t="shared" si="82"/>
        <v/>
      </c>
      <c r="B654" s="37" t="str">
        <f t="shared" si="83"/>
        <v/>
      </c>
      <c r="C654" s="37" t="str">
        <f t="shared" si="84"/>
        <v/>
      </c>
      <c r="D654" s="37" t="str">
        <f t="shared" si="85"/>
        <v/>
      </c>
    </row>
    <row r="655" spans="1:4" ht="15.75" hidden="1" thickBot="1">
      <c r="A655" s="30" t="str">
        <f t="shared" si="82"/>
        <v/>
      </c>
      <c r="B655" s="37" t="str">
        <f t="shared" si="83"/>
        <v/>
      </c>
      <c r="C655" s="37" t="str">
        <f t="shared" si="84"/>
        <v/>
      </c>
      <c r="D655" s="37" t="str">
        <f t="shared" si="85"/>
        <v/>
      </c>
    </row>
    <row r="656" spans="1:4" ht="15.75" hidden="1" thickBot="1">
      <c r="A656" s="30" t="str">
        <f t="shared" si="82"/>
        <v/>
      </c>
      <c r="B656" s="37" t="str">
        <f t="shared" si="83"/>
        <v/>
      </c>
      <c r="C656" s="37" t="str">
        <f t="shared" si="84"/>
        <v/>
      </c>
      <c r="D656" s="37" t="str">
        <f t="shared" si="85"/>
        <v/>
      </c>
    </row>
    <row r="657" spans="1:4" ht="15.75" hidden="1" thickBot="1">
      <c r="A657" s="30" t="str">
        <f t="shared" si="82"/>
        <v/>
      </c>
      <c r="B657" s="37" t="str">
        <f t="shared" si="83"/>
        <v/>
      </c>
      <c r="C657" s="37" t="str">
        <f t="shared" si="84"/>
        <v/>
      </c>
      <c r="D657" s="37" t="str">
        <f t="shared" si="85"/>
        <v/>
      </c>
    </row>
    <row r="658" spans="1:4" ht="15.75" hidden="1" thickBot="1">
      <c r="A658" s="30" t="str">
        <f t="shared" si="82"/>
        <v/>
      </c>
      <c r="B658" s="37" t="str">
        <f t="shared" si="83"/>
        <v/>
      </c>
      <c r="C658" s="37" t="str">
        <f t="shared" si="84"/>
        <v/>
      </c>
      <c r="D658" s="37" t="str">
        <f t="shared" si="85"/>
        <v/>
      </c>
    </row>
    <row r="659" spans="1:4" ht="15.75" hidden="1" thickBot="1">
      <c r="A659" s="30" t="str">
        <f t="shared" si="82"/>
        <v/>
      </c>
      <c r="B659" s="37" t="str">
        <f t="shared" si="83"/>
        <v/>
      </c>
      <c r="C659" s="37" t="str">
        <f t="shared" si="84"/>
        <v/>
      </c>
      <c r="D659" s="37" t="str">
        <f t="shared" si="85"/>
        <v/>
      </c>
    </row>
    <row r="660" spans="1:4" ht="15.75" hidden="1" thickBot="1">
      <c r="A660" s="30" t="str">
        <f t="shared" si="82"/>
        <v/>
      </c>
      <c r="B660" s="37" t="str">
        <f t="shared" si="83"/>
        <v/>
      </c>
      <c r="C660" s="37" t="str">
        <f t="shared" si="84"/>
        <v/>
      </c>
      <c r="D660" s="37" t="str">
        <f t="shared" si="85"/>
        <v/>
      </c>
    </row>
    <row r="661" spans="1:4" ht="15.75" hidden="1" thickBot="1">
      <c r="A661" s="30" t="str">
        <f t="shared" si="82"/>
        <v/>
      </c>
      <c r="B661" s="37" t="str">
        <f t="shared" si="83"/>
        <v/>
      </c>
      <c r="C661" s="37" t="str">
        <f t="shared" si="84"/>
        <v/>
      </c>
      <c r="D661" s="37" t="str">
        <f t="shared" si="85"/>
        <v/>
      </c>
    </row>
    <row r="662" spans="1:4" ht="15.75" hidden="1" thickBot="1">
      <c r="A662" s="30" t="str">
        <f t="shared" si="82"/>
        <v/>
      </c>
      <c r="B662" s="37" t="str">
        <f t="shared" si="83"/>
        <v/>
      </c>
      <c r="C662" s="37" t="str">
        <f t="shared" si="84"/>
        <v/>
      </c>
      <c r="D662" s="37" t="str">
        <f t="shared" si="85"/>
        <v/>
      </c>
    </row>
    <row r="663" spans="1:4" ht="15.75" hidden="1" thickBot="1">
      <c r="A663" s="30" t="str">
        <f t="shared" si="82"/>
        <v/>
      </c>
      <c r="B663" s="37" t="str">
        <f t="shared" si="83"/>
        <v/>
      </c>
      <c r="C663" s="37" t="str">
        <f t="shared" si="84"/>
        <v/>
      </c>
      <c r="D663" s="37" t="str">
        <f t="shared" si="85"/>
        <v/>
      </c>
    </row>
    <row r="664" spans="1:4" ht="15.75" hidden="1" thickBot="1">
      <c r="A664" s="30" t="str">
        <f t="shared" si="82"/>
        <v/>
      </c>
      <c r="B664" s="37" t="str">
        <f t="shared" si="83"/>
        <v/>
      </c>
      <c r="C664" s="37" t="str">
        <f t="shared" si="84"/>
        <v/>
      </c>
      <c r="D664" s="37" t="str">
        <f t="shared" si="85"/>
        <v/>
      </c>
    </row>
    <row r="665" spans="1:4" ht="15.75" hidden="1" thickBot="1">
      <c r="A665" s="30" t="str">
        <f t="shared" si="82"/>
        <v/>
      </c>
      <c r="B665" s="37" t="str">
        <f t="shared" si="83"/>
        <v/>
      </c>
      <c r="C665" s="37" t="str">
        <f t="shared" si="84"/>
        <v/>
      </c>
      <c r="D665" s="37" t="str">
        <f t="shared" si="85"/>
        <v/>
      </c>
    </row>
    <row r="666" spans="1:4" ht="15.75" hidden="1" thickBot="1">
      <c r="A666" s="30" t="str">
        <f t="shared" si="82"/>
        <v/>
      </c>
      <c r="B666" s="37" t="str">
        <f t="shared" si="83"/>
        <v/>
      </c>
      <c r="C666" s="37" t="str">
        <f t="shared" si="84"/>
        <v/>
      </c>
      <c r="D666" s="37" t="str">
        <f t="shared" si="85"/>
        <v/>
      </c>
    </row>
    <row r="667" spans="1:4" ht="15.75" hidden="1" thickBot="1">
      <c r="A667" s="30" t="str">
        <f t="shared" ref="A667:A693" si="86">A71</f>
        <v/>
      </c>
      <c r="B667" s="37" t="str">
        <f t="shared" si="83"/>
        <v/>
      </c>
      <c r="C667" s="37" t="str">
        <f t="shared" si="84"/>
        <v/>
      </c>
      <c r="D667" s="37" t="str">
        <f t="shared" si="85"/>
        <v/>
      </c>
    </row>
    <row r="668" spans="1:4" ht="15.75" hidden="1" thickBot="1">
      <c r="A668" s="30" t="str">
        <f t="shared" si="86"/>
        <v/>
      </c>
      <c r="B668" s="37" t="str">
        <f t="shared" ref="B668:B694" si="87">IFERROR(INDEX($B$7:$D$98,MATCH(INDEX($A$112:$A$203,MATCH(SMALL($U$112:$U$203,$A668),$U$112:$U$203,0)),$A$7:$A$98,0),1),"")</f>
        <v/>
      </c>
      <c r="C668" s="37" t="str">
        <f t="shared" ref="C668:C694" si="88">IFERROR(INDEX($B$7:$D$98,MATCH(INDEX($A$112:$A$203,MATCH(SMALL($U$112:$U$203,$A668),$U$112:$U$203,0)),$A$7:$A$98,0),2),"")</f>
        <v/>
      </c>
      <c r="D668" s="37" t="str">
        <f t="shared" ref="D668:D694" si="89">IFERROR(INDEX($B$7:$D$98,MATCH(INDEX($A$112:$A$203,MATCH(SMALL($U$112:$U$203,$A668),$U$112:$U$203,0)),$A$7:$A$98,0),3),"")</f>
        <v/>
      </c>
    </row>
    <row r="669" spans="1:4" ht="15.75" hidden="1" thickBot="1">
      <c r="A669" s="30" t="str">
        <f t="shared" si="86"/>
        <v/>
      </c>
      <c r="B669" s="37" t="str">
        <f t="shared" si="87"/>
        <v/>
      </c>
      <c r="C669" s="37" t="str">
        <f t="shared" si="88"/>
        <v/>
      </c>
      <c r="D669" s="37" t="str">
        <f t="shared" si="89"/>
        <v/>
      </c>
    </row>
    <row r="670" spans="1:4" ht="15.75" hidden="1" thickBot="1">
      <c r="A670" s="30" t="str">
        <f t="shared" si="86"/>
        <v/>
      </c>
      <c r="B670" s="37" t="str">
        <f t="shared" si="87"/>
        <v/>
      </c>
      <c r="C670" s="37" t="str">
        <f t="shared" si="88"/>
        <v/>
      </c>
      <c r="D670" s="37" t="str">
        <f t="shared" si="89"/>
        <v/>
      </c>
    </row>
    <row r="671" spans="1:4" ht="15.75" hidden="1" thickBot="1">
      <c r="A671" s="30" t="str">
        <f t="shared" si="86"/>
        <v/>
      </c>
      <c r="B671" s="37" t="str">
        <f t="shared" si="87"/>
        <v/>
      </c>
      <c r="C671" s="37" t="str">
        <f t="shared" si="88"/>
        <v/>
      </c>
      <c r="D671" s="37" t="str">
        <f t="shared" si="89"/>
        <v/>
      </c>
    </row>
    <row r="672" spans="1:4" ht="15.75" hidden="1" thickBot="1">
      <c r="A672" s="30" t="str">
        <f t="shared" si="86"/>
        <v/>
      </c>
      <c r="B672" s="37" t="str">
        <f t="shared" si="87"/>
        <v/>
      </c>
      <c r="C672" s="37" t="str">
        <f t="shared" si="88"/>
        <v/>
      </c>
      <c r="D672" s="37" t="str">
        <f t="shared" si="89"/>
        <v/>
      </c>
    </row>
    <row r="673" spans="1:4" ht="15.75" hidden="1" thickBot="1">
      <c r="A673" s="30" t="str">
        <f t="shared" si="86"/>
        <v/>
      </c>
      <c r="B673" s="37" t="str">
        <f t="shared" si="87"/>
        <v/>
      </c>
      <c r="C673" s="37" t="str">
        <f t="shared" si="88"/>
        <v/>
      </c>
      <c r="D673" s="37" t="str">
        <f t="shared" si="89"/>
        <v/>
      </c>
    </row>
    <row r="674" spans="1:4" ht="15.75" hidden="1" thickBot="1">
      <c r="A674" s="30" t="str">
        <f t="shared" si="86"/>
        <v/>
      </c>
      <c r="B674" s="37" t="str">
        <f t="shared" si="87"/>
        <v/>
      </c>
      <c r="C674" s="37" t="str">
        <f t="shared" si="88"/>
        <v/>
      </c>
      <c r="D674" s="37" t="str">
        <f t="shared" si="89"/>
        <v/>
      </c>
    </row>
    <row r="675" spans="1:4" ht="15.75" hidden="1" thickBot="1">
      <c r="A675" s="30" t="str">
        <f t="shared" si="86"/>
        <v/>
      </c>
      <c r="B675" s="37" t="str">
        <f t="shared" si="87"/>
        <v/>
      </c>
      <c r="C675" s="37" t="str">
        <f t="shared" si="88"/>
        <v/>
      </c>
      <c r="D675" s="37" t="str">
        <f t="shared" si="89"/>
        <v/>
      </c>
    </row>
    <row r="676" spans="1:4" ht="15.75" hidden="1" thickBot="1">
      <c r="A676" s="30" t="str">
        <f t="shared" si="86"/>
        <v/>
      </c>
      <c r="B676" s="37" t="str">
        <f t="shared" si="87"/>
        <v/>
      </c>
      <c r="C676" s="37" t="str">
        <f t="shared" si="88"/>
        <v/>
      </c>
      <c r="D676" s="37" t="str">
        <f t="shared" si="89"/>
        <v/>
      </c>
    </row>
    <row r="677" spans="1:4" ht="15.75" hidden="1" thickBot="1">
      <c r="A677" s="30" t="str">
        <f t="shared" si="86"/>
        <v/>
      </c>
      <c r="B677" s="37" t="str">
        <f t="shared" si="87"/>
        <v/>
      </c>
      <c r="C677" s="37" t="str">
        <f t="shared" si="88"/>
        <v/>
      </c>
      <c r="D677" s="37" t="str">
        <f t="shared" si="89"/>
        <v/>
      </c>
    </row>
    <row r="678" spans="1:4" ht="15.75" hidden="1" thickBot="1">
      <c r="A678" s="30" t="str">
        <f t="shared" si="86"/>
        <v/>
      </c>
      <c r="B678" s="37" t="str">
        <f t="shared" si="87"/>
        <v/>
      </c>
      <c r="C678" s="37" t="str">
        <f t="shared" si="88"/>
        <v/>
      </c>
      <c r="D678" s="37" t="str">
        <f t="shared" si="89"/>
        <v/>
      </c>
    </row>
    <row r="679" spans="1:4" ht="15.75" hidden="1" thickBot="1">
      <c r="A679" s="30" t="str">
        <f t="shared" si="86"/>
        <v/>
      </c>
      <c r="B679" s="37" t="str">
        <f t="shared" si="87"/>
        <v/>
      </c>
      <c r="C679" s="37" t="str">
        <f t="shared" si="88"/>
        <v/>
      </c>
      <c r="D679" s="37" t="str">
        <f t="shared" si="89"/>
        <v/>
      </c>
    </row>
    <row r="680" spans="1:4" ht="15.75" hidden="1" thickBot="1">
      <c r="A680" s="30" t="str">
        <f t="shared" si="86"/>
        <v/>
      </c>
      <c r="B680" s="37" t="str">
        <f t="shared" si="87"/>
        <v/>
      </c>
      <c r="C680" s="37" t="str">
        <f t="shared" si="88"/>
        <v/>
      </c>
      <c r="D680" s="37" t="str">
        <f t="shared" si="89"/>
        <v/>
      </c>
    </row>
    <row r="681" spans="1:4" ht="15.75" hidden="1" thickBot="1">
      <c r="A681" s="30" t="str">
        <f t="shared" si="86"/>
        <v/>
      </c>
      <c r="B681" s="37" t="str">
        <f t="shared" si="87"/>
        <v/>
      </c>
      <c r="C681" s="37" t="str">
        <f t="shared" si="88"/>
        <v/>
      </c>
      <c r="D681" s="37" t="str">
        <f t="shared" si="89"/>
        <v/>
      </c>
    </row>
    <row r="682" spans="1:4" ht="15.75" hidden="1" thickBot="1">
      <c r="A682" s="30" t="str">
        <f t="shared" si="86"/>
        <v/>
      </c>
      <c r="B682" s="37" t="str">
        <f t="shared" si="87"/>
        <v/>
      </c>
      <c r="C682" s="37" t="str">
        <f t="shared" si="88"/>
        <v/>
      </c>
      <c r="D682" s="37" t="str">
        <f t="shared" si="89"/>
        <v/>
      </c>
    </row>
    <row r="683" spans="1:4" ht="15.75" hidden="1" thickBot="1">
      <c r="A683" s="30" t="str">
        <f t="shared" si="86"/>
        <v/>
      </c>
      <c r="B683" s="37" t="str">
        <f t="shared" si="87"/>
        <v/>
      </c>
      <c r="C683" s="37" t="str">
        <f t="shared" si="88"/>
        <v/>
      </c>
      <c r="D683" s="37" t="str">
        <f t="shared" si="89"/>
        <v/>
      </c>
    </row>
    <row r="684" spans="1:4" ht="15.75" hidden="1" thickBot="1">
      <c r="A684" s="30" t="str">
        <f t="shared" si="86"/>
        <v/>
      </c>
      <c r="B684" s="37" t="str">
        <f t="shared" si="87"/>
        <v/>
      </c>
      <c r="C684" s="37" t="str">
        <f t="shared" si="88"/>
        <v/>
      </c>
      <c r="D684" s="37" t="str">
        <f t="shared" si="89"/>
        <v/>
      </c>
    </row>
    <row r="685" spans="1:4" ht="15.75" hidden="1" thickBot="1">
      <c r="A685" s="30" t="str">
        <f t="shared" si="86"/>
        <v/>
      </c>
      <c r="B685" s="37" t="str">
        <f t="shared" si="87"/>
        <v/>
      </c>
      <c r="C685" s="37" t="str">
        <f t="shared" si="88"/>
        <v/>
      </c>
      <c r="D685" s="37" t="str">
        <f t="shared" si="89"/>
        <v/>
      </c>
    </row>
    <row r="686" spans="1:4" ht="15.75" hidden="1" thickBot="1">
      <c r="A686" s="30" t="str">
        <f t="shared" si="86"/>
        <v/>
      </c>
      <c r="B686" s="37" t="str">
        <f t="shared" si="87"/>
        <v/>
      </c>
      <c r="C686" s="37" t="str">
        <f t="shared" si="88"/>
        <v/>
      </c>
      <c r="D686" s="37" t="str">
        <f t="shared" si="89"/>
        <v/>
      </c>
    </row>
    <row r="687" spans="1:4" ht="15.75" hidden="1" thickBot="1">
      <c r="A687" s="30" t="str">
        <f t="shared" si="86"/>
        <v/>
      </c>
      <c r="B687" s="37" t="str">
        <f t="shared" si="87"/>
        <v/>
      </c>
      <c r="C687" s="37" t="str">
        <f t="shared" si="88"/>
        <v/>
      </c>
      <c r="D687" s="37" t="str">
        <f t="shared" si="89"/>
        <v/>
      </c>
    </row>
    <row r="688" spans="1:4" ht="15.75" hidden="1" thickBot="1">
      <c r="A688" s="30" t="str">
        <f t="shared" si="86"/>
        <v/>
      </c>
      <c r="B688" s="37" t="str">
        <f t="shared" si="87"/>
        <v/>
      </c>
      <c r="C688" s="37" t="str">
        <f t="shared" si="88"/>
        <v/>
      </c>
      <c r="D688" s="37" t="str">
        <f t="shared" si="89"/>
        <v/>
      </c>
    </row>
    <row r="689" spans="1:4" ht="15.75" hidden="1" thickBot="1">
      <c r="A689" s="30" t="str">
        <f t="shared" si="86"/>
        <v/>
      </c>
      <c r="B689" s="37" t="str">
        <f t="shared" si="87"/>
        <v/>
      </c>
      <c r="C689" s="37" t="str">
        <f t="shared" si="88"/>
        <v/>
      </c>
      <c r="D689" s="37" t="str">
        <f t="shared" si="89"/>
        <v/>
      </c>
    </row>
    <row r="690" spans="1:4" ht="15.75" hidden="1" thickBot="1">
      <c r="A690" s="30" t="str">
        <f t="shared" si="86"/>
        <v/>
      </c>
      <c r="B690" s="37" t="str">
        <f t="shared" si="87"/>
        <v/>
      </c>
      <c r="C690" s="37" t="str">
        <f t="shared" si="88"/>
        <v/>
      </c>
      <c r="D690" s="37" t="str">
        <f t="shared" si="89"/>
        <v/>
      </c>
    </row>
    <row r="691" spans="1:4" ht="15.75" hidden="1" thickBot="1">
      <c r="A691" s="30" t="str">
        <f t="shared" si="86"/>
        <v/>
      </c>
      <c r="B691" s="37" t="str">
        <f t="shared" si="87"/>
        <v/>
      </c>
      <c r="C691" s="37" t="str">
        <f t="shared" si="88"/>
        <v/>
      </c>
      <c r="D691" s="37" t="str">
        <f t="shared" si="89"/>
        <v/>
      </c>
    </row>
    <row r="692" spans="1:4" ht="15.75" hidden="1" thickBot="1">
      <c r="A692" s="30" t="str">
        <f t="shared" si="86"/>
        <v/>
      </c>
      <c r="B692" s="37" t="str">
        <f t="shared" si="87"/>
        <v/>
      </c>
      <c r="C692" s="37" t="str">
        <f t="shared" si="88"/>
        <v/>
      </c>
      <c r="D692" s="37" t="str">
        <f t="shared" si="89"/>
        <v/>
      </c>
    </row>
    <row r="693" spans="1:4" ht="15.75" hidden="1" thickBot="1">
      <c r="A693" s="30" t="str">
        <f t="shared" si="86"/>
        <v/>
      </c>
      <c r="B693" s="37" t="str">
        <f t="shared" si="87"/>
        <v/>
      </c>
      <c r="C693" s="37" t="str">
        <f t="shared" si="88"/>
        <v/>
      </c>
      <c r="D693" s="37" t="str">
        <f t="shared" si="89"/>
        <v/>
      </c>
    </row>
    <row r="694" spans="1:4" ht="15.75" hidden="1" thickBot="1">
      <c r="A694" s="30" t="str">
        <f>A98</f>
        <v/>
      </c>
      <c r="B694" s="37" t="str">
        <f t="shared" si="87"/>
        <v/>
      </c>
      <c r="C694" s="37" t="str">
        <f t="shared" si="88"/>
        <v/>
      </c>
      <c r="D694" s="37" t="str">
        <f t="shared" si="89"/>
        <v/>
      </c>
    </row>
  </sheetData>
  <sheetProtection password="C6E3" sheet="1" objects="1" scenarios="1"/>
  <dataConsolidate/>
  <mergeCells count="73">
    <mergeCell ref="B308:D308"/>
    <mergeCell ref="B503:B505"/>
    <mergeCell ref="C503:C505"/>
    <mergeCell ref="D503:D505"/>
    <mergeCell ref="B600:B602"/>
    <mergeCell ref="C600:C602"/>
    <mergeCell ref="D600:D602"/>
    <mergeCell ref="B309:B311"/>
    <mergeCell ref="C309:C311"/>
    <mergeCell ref="D309:D311"/>
    <mergeCell ref="B406:B408"/>
    <mergeCell ref="C406:C408"/>
    <mergeCell ref="D406:D408"/>
    <mergeCell ref="B405:D405"/>
    <mergeCell ref="B502:D502"/>
    <mergeCell ref="B599:D599"/>
    <mergeCell ref="B212:B214"/>
    <mergeCell ref="C212:C214"/>
    <mergeCell ref="D212:D214"/>
    <mergeCell ref="B211:D211"/>
    <mergeCell ref="C105:E105"/>
    <mergeCell ref="F105:J105"/>
    <mergeCell ref="C106:J106"/>
    <mergeCell ref="M102:N102"/>
    <mergeCell ref="C103:E103"/>
    <mergeCell ref="F103:J103"/>
    <mergeCell ref="K103:L103"/>
    <mergeCell ref="C104:E104"/>
    <mergeCell ref="F104:J104"/>
    <mergeCell ref="C102:D102"/>
    <mergeCell ref="E102:F102"/>
    <mergeCell ref="G102:H102"/>
    <mergeCell ref="I102:J102"/>
    <mergeCell ref="K102:L102"/>
    <mergeCell ref="E101:F101"/>
    <mergeCell ref="G101:H101"/>
    <mergeCell ref="I101:J101"/>
    <mergeCell ref="K101:L101"/>
    <mergeCell ref="M101:N101"/>
    <mergeCell ref="M100:N100"/>
    <mergeCell ref="B99:D99"/>
    <mergeCell ref="E99:F99"/>
    <mergeCell ref="G99:H99"/>
    <mergeCell ref="I99:J99"/>
    <mergeCell ref="K99:L99"/>
    <mergeCell ref="M99:N99"/>
    <mergeCell ref="C100:D100"/>
    <mergeCell ref="E100:F100"/>
    <mergeCell ref="G100:H100"/>
    <mergeCell ref="I100:J100"/>
    <mergeCell ref="K100:L100"/>
    <mergeCell ref="I5:I6"/>
    <mergeCell ref="P5:P6"/>
    <mergeCell ref="I4:J4"/>
    <mergeCell ref="K4:L4"/>
    <mergeCell ref="M4:N4"/>
    <mergeCell ref="O4:P4"/>
    <mergeCell ref="J5:J6"/>
    <mergeCell ref="K5:K6"/>
    <mergeCell ref="L5:L6"/>
    <mergeCell ref="M5:M6"/>
    <mergeCell ref="N5:N6"/>
    <mergeCell ref="O5:O6"/>
    <mergeCell ref="G4:H4"/>
    <mergeCell ref="A1:E3"/>
    <mergeCell ref="B4:B6"/>
    <mergeCell ref="C4:C6"/>
    <mergeCell ref="D4:D6"/>
    <mergeCell ref="E4:F4"/>
    <mergeCell ref="E5:E6"/>
    <mergeCell ref="F5:F6"/>
    <mergeCell ref="G5:G6"/>
    <mergeCell ref="H5:H6"/>
  </mergeCells>
  <conditionalFormatting sqref="F7:F98 H7:H98 L7:L98 J7:J98 N7:N98">
    <cfRule type="cellIs" dxfId="8" priority="24" stopIfTrue="1" operator="equal">
      <formula>"NÃO POSSUI"</formula>
    </cfRule>
  </conditionalFormatting>
  <conditionalFormatting sqref="O4:P4">
    <cfRule type="cellIs" dxfId="7" priority="22" operator="equal">
      <formula>"Desligado"</formula>
    </cfRule>
    <cfRule type="cellIs" dxfId="6" priority="23" operator="equal">
      <formula>"Ligado"</formula>
    </cfRule>
  </conditionalFormatting>
  <conditionalFormatting sqref="B7:N98 B215:D306 B312:D403 B409:D500 B506:D597 B603:D694">
    <cfRule type="expression" dxfId="5" priority="21">
      <formula>IF($O$4="Ligado",IF(OR($B7="",$D7=0),"Nome vazio",IF(AND($E$99=0,$G$99=0,$I$99=0,$K$99=0,$M$99=0),"Total vazio",$Q7:$R7&lt;1)),)</formula>
    </cfRule>
  </conditionalFormatting>
  <conditionalFormatting sqref="E7:E98 G7:G98 I7:I98 K7:K98 M7:M98">
    <cfRule type="cellIs" dxfId="4" priority="19" operator="equal">
      <formula>$O7</formula>
    </cfRule>
    <cfRule type="cellIs" dxfId="3" priority="20" operator="equal">
      <formula>$P7</formula>
    </cfRule>
  </conditionalFormatting>
  <conditionalFormatting sqref="E7:E98 G7:G98 I7:I98 K7:K98 M7:M98">
    <cfRule type="cellIs" dxfId="2" priority="18" operator="equal">
      <formula>0</formula>
    </cfRule>
  </conditionalFormatting>
  <conditionalFormatting sqref="E101:N101">
    <cfRule type="expression" dxfId="1" priority="16">
      <formula>IF($D$101=$B$101,1,0)</formula>
    </cfRule>
    <cfRule type="expression" dxfId="0" priority="17">
      <formula>IF($D$101=$B$102,1,0)</formula>
    </cfRule>
  </conditionalFormatting>
  <dataValidations count="3">
    <dataValidation type="list" allowBlank="1" showInputMessage="1" showErrorMessage="1" sqref="D101">
      <formula1>$B$101:$B$102</formula1>
    </dataValidation>
    <dataValidation type="list" errorStyle="information" sqref="C7:C98 C312:C403 C409:C500">
      <formula1>"KG,G,MG,L,ML,UND,PCT,BLD,CX,"</formula1>
    </dataValidation>
    <dataValidation type="list" allowBlank="1" showInputMessage="1" showErrorMessage="1" sqref="O4:P4">
      <formula1>"Ligado,Desligado"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PADRÃO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Tatiane Santos Camargo</dc:creator>
  <cp:lastModifiedBy>NARAUJO</cp:lastModifiedBy>
  <cp:lastPrinted>2020-12-30T19:51:03Z</cp:lastPrinted>
  <dcterms:created xsi:type="dcterms:W3CDTF">2018-10-31T13:08:21Z</dcterms:created>
  <dcterms:modified xsi:type="dcterms:W3CDTF">2020-12-31T00:25:13Z</dcterms:modified>
</cp:coreProperties>
</file>